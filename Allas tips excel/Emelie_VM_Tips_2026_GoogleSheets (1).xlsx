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0711D18B-68B8-4B4B-9935-FFE0211548B8}" xr6:coauthVersionLast="47" xr6:coauthVersionMax="47" xr10:uidLastSave="{00000000-0000-0000-0000-000000000000}"/>
  <bookViews>
    <workbookView xWindow="-25740" yWindow="135" windowWidth="25455" windowHeight="15135" firstSheet="3" activeTab="9" xr2:uid="{00000000-000D-0000-FFFF-FFFF00000000}"/>
  </bookViews>
  <sheets>
    <sheet name="Instruktion" sheetId="1" r:id="rId1"/>
    <sheet name="1. Gruppspel" sheetId="2" r:id="rId2"/>
    <sheet name="2. Bästa grupptreor" sheetId="3" r:id="rId3"/>
    <sheet name="3. Slutspelsträd" sheetId="4" r:id="rId4"/>
    <sheet name="4. Skyttekung och utslagsfråga" sheetId="5" r:id="rId5"/>
    <sheet name="Bilaga 1. Lag &amp; Grupper" sheetId="6" r:id="rId6"/>
    <sheet name="Bilaga 2. Spelschema" sheetId="7" r:id="rId7"/>
    <sheet name="Bilaga 3. AnnexC" sheetId="8" state="hidden" r:id="rId8"/>
    <sheet name="_Listor" sheetId="9"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AI3" i="10"/>
  <c r="AH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B3" i="10"/>
  <c r="A3" i="10"/>
  <c r="BU26" i="9"/>
  <c r="H6" i="9" s="1"/>
  <c r="BU25" i="9"/>
  <c r="BU24" i="9"/>
  <c r="BU23" i="9"/>
  <c r="BU22" i="9"/>
  <c r="BU21" i="9"/>
  <c r="BU20" i="9"/>
  <c r="BU19" i="9"/>
  <c r="BY18" i="9"/>
  <c r="AI2" i="9" s="1"/>
  <c r="BU18" i="9"/>
  <c r="BY17" i="9"/>
  <c r="AD44" i="4" s="1" a="1"/>
  <c r="AD44" i="4" s="1"/>
  <c r="BU17" i="9"/>
  <c r="BZ16" i="9"/>
  <c r="AD40" i="4" s="1" a="1"/>
  <c r="AD40" i="4" s="1"/>
  <c r="BY16" i="9"/>
  <c r="AD38" i="4" s="1" a="1"/>
  <c r="AD38" i="4" s="1"/>
  <c r="BU16" i="9"/>
  <c r="BZ15" i="9"/>
  <c r="BY15" i="9"/>
  <c r="AF2" i="9" s="1"/>
  <c r="BU15" i="9"/>
  <c r="BY14" i="9"/>
  <c r="AE2" i="9" s="1"/>
  <c r="BU14" i="9"/>
  <c r="BY13" i="9"/>
  <c r="BU13" i="9"/>
  <c r="E13" i="9"/>
  <c r="BZ12" i="9"/>
  <c r="AC3" i="9" s="1"/>
  <c r="BY12" i="9"/>
  <c r="AC2" i="9" s="1"/>
  <c r="BU12" i="9"/>
  <c r="E12" i="9"/>
  <c r="BZ11" i="9"/>
  <c r="D34" i="4" s="1" a="1"/>
  <c r="D34" i="4" s="1"/>
  <c r="BY11" i="9"/>
  <c r="AB2" i="9" s="1"/>
  <c r="BU11" i="9"/>
  <c r="E11" i="9"/>
  <c r="BY10" i="9"/>
  <c r="BU10" i="9"/>
  <c r="E10" i="9"/>
  <c r="BY9" i="9"/>
  <c r="Z2" i="9" s="1"/>
  <c r="BU9" i="9"/>
  <c r="BN9" i="9" a="1"/>
  <c r="BN9" i="9" s="1"/>
  <c r="BE9" i="9"/>
  <c r="E9" i="9"/>
  <c r="BZ8" i="9"/>
  <c r="Y3" i="9" s="1"/>
  <c r="BY8" i="9"/>
  <c r="AD12" i="4" s="1" a="1"/>
  <c r="AD12" i="4" s="1"/>
  <c r="BU8" i="9"/>
  <c r="BN8" i="9" a="1"/>
  <c r="BN8" i="9" s="1"/>
  <c r="BE8" i="9"/>
  <c r="BL2" i="9" s="1" a="1"/>
  <c r="BL2" i="9" s="1"/>
  <c r="E8" i="9"/>
  <c r="BZ7" i="9"/>
  <c r="X3" i="9" s="1"/>
  <c r="BY7" i="9"/>
  <c r="BU7" i="9"/>
  <c r="BN7" i="9" a="1"/>
  <c r="BN7" i="9" s="1"/>
  <c r="BE7" i="9"/>
  <c r="E7" i="9"/>
  <c r="BY6" i="9"/>
  <c r="D12" i="4" s="1" a="1"/>
  <c r="D12" i="4" s="1"/>
  <c r="BU6" i="9"/>
  <c r="BN6" i="9" a="1"/>
  <c r="BN6" i="9" s="1"/>
  <c r="BE6" i="9"/>
  <c r="O6" i="9"/>
  <c r="N6" i="9"/>
  <c r="M6" i="9"/>
  <c r="L6" i="9"/>
  <c r="K6" i="9"/>
  <c r="J6" i="9"/>
  <c r="I6" i="9"/>
  <c r="E6" i="9"/>
  <c r="BY5" i="9"/>
  <c r="D6" i="4" s="1" a="1"/>
  <c r="D6" i="4" s="1"/>
  <c r="BU5" i="9"/>
  <c r="BN5" i="9" a="1"/>
  <c r="BN5" i="9" s="1"/>
  <c r="BE5" i="9"/>
  <c r="O5" i="9"/>
  <c r="N5" i="9"/>
  <c r="M5" i="9"/>
  <c r="L5" i="9"/>
  <c r="K5" i="9"/>
  <c r="J5" i="9"/>
  <c r="I5" i="9"/>
  <c r="H5" i="9"/>
  <c r="E5" i="9"/>
  <c r="BZ4" i="9"/>
  <c r="D26" i="4" s="1" a="1"/>
  <c r="D26" i="4" s="1"/>
  <c r="BY4" i="9"/>
  <c r="U2" i="9" s="1"/>
  <c r="BU4" i="9"/>
  <c r="BN4" i="9" a="1"/>
  <c r="BN4" i="9" s="1"/>
  <c r="BE4" i="9"/>
  <c r="O4" i="9"/>
  <c r="N4" i="9"/>
  <c r="M4" i="9"/>
  <c r="L4" i="9"/>
  <c r="K4" i="9"/>
  <c r="J4" i="9"/>
  <c r="I4" i="9"/>
  <c r="H4" i="9"/>
  <c r="E4" i="9"/>
  <c r="BZ3" i="9"/>
  <c r="T3" i="9" s="1"/>
  <c r="BY3" i="9"/>
  <c r="D18" i="4" s="1" a="1"/>
  <c r="D18" i="4" s="1"/>
  <c r="BU3" i="9"/>
  <c r="BN3" i="9" a="1"/>
  <c r="BN3" i="9" s="1"/>
  <c r="BE3" i="9"/>
  <c r="BD3" i="9"/>
  <c r="BC3" i="9"/>
  <c r="BB3" i="9"/>
  <c r="BA3" i="9"/>
  <c r="AX3" i="9"/>
  <c r="AW3" i="9"/>
  <c r="AV3" i="9"/>
  <c r="AU3" i="9"/>
  <c r="AT3" i="9"/>
  <c r="AS3" i="9"/>
  <c r="AR3" i="9"/>
  <c r="AQ3" i="9"/>
  <c r="AP3" i="9"/>
  <c r="AO3" i="9"/>
  <c r="AN3" i="9"/>
  <c r="AM3" i="9"/>
  <c r="AL3" i="9"/>
  <c r="AK3" i="9"/>
  <c r="AJ3" i="9"/>
  <c r="AF3" i="9"/>
  <c r="O3" i="9"/>
  <c r="N3" i="9"/>
  <c r="M3" i="9"/>
  <c r="L3" i="9"/>
  <c r="K3" i="9"/>
  <c r="J3" i="9"/>
  <c r="I3" i="9"/>
  <c r="H3" i="9"/>
  <c r="E3" i="9"/>
  <c r="BN2" i="9" a="1"/>
  <c r="BN2" i="9" s="1"/>
  <c r="BE2" i="9"/>
  <c r="BD2" i="9"/>
  <c r="BC2" i="9"/>
  <c r="BB2" i="9"/>
  <c r="BA2" i="9"/>
  <c r="AX2" i="9"/>
  <c r="AW2" i="9"/>
  <c r="AV2" i="9"/>
  <c r="AU2" i="9"/>
  <c r="AT2" i="9"/>
  <c r="AS2" i="9"/>
  <c r="AR2" i="9"/>
  <c r="AQ2" i="9"/>
  <c r="AP2" i="9"/>
  <c r="AO2" i="9"/>
  <c r="AN2" i="9"/>
  <c r="AM2" i="9"/>
  <c r="AL2" i="9"/>
  <c r="AK2" i="9"/>
  <c r="AJ2" i="9"/>
  <c r="AD2" i="9"/>
  <c r="AA2" i="9"/>
  <c r="X2" i="9"/>
  <c r="W2" i="9"/>
  <c r="O2" i="9"/>
  <c r="N2" i="9"/>
  <c r="M2" i="9"/>
  <c r="L2" i="9"/>
  <c r="K2" i="9"/>
  <c r="J2" i="9"/>
  <c r="I2" i="9"/>
  <c r="H2" i="9"/>
  <c r="E2" i="9"/>
  <c r="D44" i="4" a="1"/>
  <c r="D44" i="4" s="1"/>
  <c r="D40" i="4" a="1"/>
  <c r="D40" i="4" s="1"/>
  <c r="AD34" i="4" a="1"/>
  <c r="AD34" i="4" s="1"/>
  <c r="AD32" i="4" a="1"/>
  <c r="AD32" i="4" s="1"/>
  <c r="AD24" i="4" a="1"/>
  <c r="AD24" i="4" s="1"/>
  <c r="AD18" i="4" a="1"/>
  <c r="AD18" i="4" s="1"/>
  <c r="AD14" i="4" a="1"/>
  <c r="AD14" i="4" s="1"/>
  <c r="AD6" i="4" a="1"/>
  <c r="AD6" i="4" s="1"/>
  <c r="D73" i="2"/>
  <c r="D19" i="10" s="1"/>
  <c r="C73" i="2"/>
  <c r="C19" i="10" s="1"/>
  <c r="B73" i="2"/>
  <c r="B19" i="10" s="1"/>
  <c r="D72" i="2"/>
  <c r="D18" i="10" s="1"/>
  <c r="C72" i="2"/>
  <c r="C18" i="10" s="1"/>
  <c r="B72" i="2"/>
  <c r="B18" i="10" s="1"/>
  <c r="D71" i="2"/>
  <c r="D17" i="10" s="1"/>
  <c r="C71" i="2"/>
  <c r="C17" i="10" s="1"/>
  <c r="B71" i="2"/>
  <c r="B17" i="10" s="1"/>
  <c r="D70" i="2"/>
  <c r="D16" i="10" s="1"/>
  <c r="C70" i="2"/>
  <c r="C16" i="10" s="1"/>
  <c r="B70" i="2"/>
  <c r="B16" i="10" s="1"/>
  <c r="D69" i="2"/>
  <c r="D15" i="10" s="1"/>
  <c r="C69" i="2"/>
  <c r="C15" i="10" s="1"/>
  <c r="B69" i="2"/>
  <c r="B15" i="10" s="1"/>
  <c r="D68" i="2"/>
  <c r="D14" i="10" s="1"/>
  <c r="C68" i="2"/>
  <c r="C14" i="10" s="1"/>
  <c r="B68" i="2"/>
  <c r="B14" i="10" s="1"/>
  <c r="D67" i="2"/>
  <c r="D13" i="10" s="1"/>
  <c r="C67" i="2"/>
  <c r="C13" i="10" s="1"/>
  <c r="B67" i="2"/>
  <c r="B13" i="10" s="1"/>
  <c r="D66" i="2"/>
  <c r="D12" i="10" s="1"/>
  <c r="C66" i="2"/>
  <c r="C12" i="10" s="1"/>
  <c r="B66" i="2"/>
  <c r="B12" i="10" s="1"/>
  <c r="D65" i="2"/>
  <c r="D11" i="10" s="1"/>
  <c r="C65" i="2"/>
  <c r="C11" i="10" s="1"/>
  <c r="B65" i="2"/>
  <c r="B11" i="10" s="1"/>
  <c r="D64" i="2"/>
  <c r="D10" i="10" s="1"/>
  <c r="C64" i="2"/>
  <c r="C10" i="10" s="1"/>
  <c r="B64" i="2"/>
  <c r="B10" i="10" s="1"/>
  <c r="D63" i="2"/>
  <c r="D9" i="10" s="1"/>
  <c r="C63" i="2"/>
  <c r="C9" i="10" s="1"/>
  <c r="B63" i="2"/>
  <c r="B9" i="10" s="1"/>
  <c r="D62" i="2"/>
  <c r="D8" i="10" s="1"/>
  <c r="C62" i="2"/>
  <c r="C8" i="10" s="1"/>
  <c r="B62" i="2"/>
  <c r="B8" i="10" s="1"/>
  <c r="F15" i="2" a="1"/>
  <c r="F15" i="2" s="1"/>
  <c r="E15" i="2"/>
  <c r="F14" i="2" a="1"/>
  <c r="F14" i="2" s="1"/>
  <c r="E14" i="2"/>
  <c r="F13" i="2" a="1"/>
  <c r="F13" i="2" s="1"/>
  <c r="E13" i="2"/>
  <c r="F12" i="2" a="1"/>
  <c r="F12" i="2" s="1"/>
  <c r="E12" i="2"/>
  <c r="F11" i="2" a="1"/>
  <c r="F11" i="2" s="1"/>
  <c r="E11" i="2"/>
  <c r="F10" i="2" a="1"/>
  <c r="F10" i="2" s="1"/>
  <c r="E10" i="2"/>
  <c r="F9" i="2" a="1"/>
  <c r="F9" i="2" s="1"/>
  <c r="E9" i="2"/>
  <c r="F8" i="2" a="1"/>
  <c r="F8" i="2" s="1"/>
  <c r="E8" i="2"/>
  <c r="F7" i="2" a="1"/>
  <c r="F7" i="2" s="1"/>
  <c r="E7" i="2"/>
  <c r="F6" i="2" a="1"/>
  <c r="F6" i="2" s="1"/>
  <c r="E6" i="2"/>
  <c r="F5" i="2" a="1"/>
  <c r="F5" i="2" s="1"/>
  <c r="E5" i="2"/>
  <c r="F4" i="2" a="1"/>
  <c r="F4" i="2" s="1"/>
  <c r="E4" i="2"/>
  <c r="D50" i="4" l="1" a="1"/>
  <c r="D50" i="4" s="1"/>
  <c r="AD50" i="4" a="1"/>
  <c r="AD50" i="4" s="1"/>
  <c r="D38" i="4" a="1"/>
  <c r="D38" i="4" s="1"/>
  <c r="Y2" i="9"/>
  <c r="AD8" i="4" a="1"/>
  <c r="AD8" i="4" s="1"/>
  <c r="BL4" i="9" a="1"/>
  <c r="BL4" i="9" s="1"/>
  <c r="U3" i="9"/>
  <c r="AB3" i="9"/>
  <c r="D32" i="4" a="1"/>
  <c r="D32" i="4" s="1"/>
  <c r="T2" i="9"/>
  <c r="AG2" i="9"/>
  <c r="AG3" i="9"/>
  <c r="BJ9" i="9" a="1"/>
  <c r="BJ9" i="9" s="1"/>
  <c r="BL3" i="9" a="1"/>
  <c r="BL3" i="9" s="1"/>
  <c r="D20" i="4" a="1"/>
  <c r="D20" i="4" s="1"/>
  <c r="BL11" i="9" a="1"/>
  <c r="BL11" i="9" s="1"/>
  <c r="BJ12" i="9" a="1"/>
  <c r="BJ12" i="9" s="1"/>
  <c r="AH2" i="9"/>
  <c r="BI7" i="9" a="1"/>
  <c r="BI7" i="9" s="1"/>
  <c r="BH13" i="9" a="1"/>
  <c r="BH13" i="9" s="1"/>
  <c r="D24" i="4" a="1"/>
  <c r="D24" i="4" s="1"/>
  <c r="V2" i="9"/>
  <c r="BG13" i="9" a="1"/>
  <c r="BG13" i="9" s="1"/>
  <c r="BM8" i="9" a="1"/>
  <c r="BM8" i="9" s="1"/>
  <c r="BM6" i="9" a="1"/>
  <c r="BM6" i="9" s="1"/>
  <c r="BM5" i="9" a="1"/>
  <c r="BM5" i="9" s="1"/>
  <c r="BO2" i="9"/>
  <c r="F58" i="2"/>
  <c r="BF10" i="9" a="1"/>
  <c r="BF10" i="9" s="1"/>
  <c r="BM4" i="9" a="1"/>
  <c r="BM4" i="9" s="1"/>
  <c r="BF8" i="9" a="1"/>
  <c r="BF8" i="9" s="1"/>
  <c r="BG10" i="9" a="1"/>
  <c r="BG10" i="9" s="1"/>
  <c r="BM2" i="9" a="1"/>
  <c r="BM2" i="9" s="1"/>
  <c r="BM3" i="9" a="1"/>
  <c r="BM3" i="9" s="1"/>
  <c r="BF5" i="9" a="1"/>
  <c r="BF5" i="9" s="1"/>
  <c r="BF6" i="9" a="1"/>
  <c r="BF6" i="9" s="1"/>
  <c r="BJ7" i="9" a="1"/>
  <c r="BJ7" i="9" s="1"/>
  <c r="BK9" i="9" a="1"/>
  <c r="BK9" i="9" s="1"/>
  <c r="BM11" i="9" a="1"/>
  <c r="BM11" i="9" s="1"/>
  <c r="BK12" i="9" a="1"/>
  <c r="BK12" i="9" s="1"/>
  <c r="BI13" i="9" a="1"/>
  <c r="BI13" i="9" s="1"/>
  <c r="BF4" i="9" a="1"/>
  <c r="BF4" i="9" s="1"/>
  <c r="BG8" i="9" a="1"/>
  <c r="BG8" i="9" s="1"/>
  <c r="BH10" i="9" a="1"/>
  <c r="BH10" i="9" s="1"/>
  <c r="BF2" i="9" a="1"/>
  <c r="BF2" i="9" s="1"/>
  <c r="BF3" i="9" a="1"/>
  <c r="BF3" i="9" s="1"/>
  <c r="BG5" i="9" a="1"/>
  <c r="BG5" i="9" s="1"/>
  <c r="BG6" i="9" a="1"/>
  <c r="BG6" i="9" s="1"/>
  <c r="BK7" i="9" a="1"/>
  <c r="BK7" i="9" s="1"/>
  <c r="BL9" i="9" a="1"/>
  <c r="BL9" i="9" s="1"/>
  <c r="BF11" i="9" a="1"/>
  <c r="BF11" i="9" s="1"/>
  <c r="BL12" i="9" a="1"/>
  <c r="BL12" i="9" s="1"/>
  <c r="BJ13" i="9" a="1"/>
  <c r="BJ13" i="9" s="1"/>
  <c r="BG4" i="9" a="1"/>
  <c r="BG4" i="9" s="1"/>
  <c r="BH8" i="9" a="1"/>
  <c r="BH8" i="9" s="1"/>
  <c r="BI10" i="9" a="1"/>
  <c r="BI10" i="9" s="1"/>
  <c r="BG3" i="9" a="1"/>
  <c r="BG3" i="9" s="1"/>
  <c r="BH6" i="9" a="1"/>
  <c r="BH6" i="9" s="1"/>
  <c r="BM9" i="9" a="1"/>
  <c r="BM9" i="9" s="1"/>
  <c r="BG11" i="9" a="1"/>
  <c r="BG11" i="9" s="1"/>
  <c r="BM12" i="9" a="1"/>
  <c r="BM12" i="9" s="1"/>
  <c r="BK13" i="9" a="1"/>
  <c r="BK13" i="9" s="1"/>
  <c r="BG2" i="9" a="1"/>
  <c r="BG2" i="9" s="1"/>
  <c r="BH5" i="9" a="1"/>
  <c r="BH5" i="9" s="1"/>
  <c r="BL7" i="9" a="1"/>
  <c r="BL7" i="9" s="1"/>
  <c r="BH4" i="9" a="1"/>
  <c r="BH4" i="9" s="1"/>
  <c r="BI8" i="9" a="1"/>
  <c r="BI8" i="9" s="1"/>
  <c r="BJ10" i="9" a="1"/>
  <c r="BJ10" i="9" s="1"/>
  <c r="BH2" i="9" a="1"/>
  <c r="BH2" i="9" s="1"/>
  <c r="BI5" i="9" a="1"/>
  <c r="BI5" i="9" s="1"/>
  <c r="BI6" i="9" a="1"/>
  <c r="BI6" i="9" s="1"/>
  <c r="BM7" i="9" a="1"/>
  <c r="BM7" i="9" s="1"/>
  <c r="BF9" i="9" a="1"/>
  <c r="BF9" i="9" s="1"/>
  <c r="BH11" i="9" a="1"/>
  <c r="BH11" i="9" s="1"/>
  <c r="BF12" i="9" a="1"/>
  <c r="BF12" i="9" s="1"/>
  <c r="BL13" i="9" a="1"/>
  <c r="BL13" i="9" s="1"/>
  <c r="BH3" i="9" a="1"/>
  <c r="BH3" i="9" s="1"/>
  <c r="BI4" i="9" a="1"/>
  <c r="BI4" i="9" s="1"/>
  <c r="BJ8" i="9" a="1"/>
  <c r="BJ8" i="9" s="1"/>
  <c r="BK10" i="9" a="1"/>
  <c r="BK10" i="9" s="1"/>
  <c r="BI2" i="9" a="1"/>
  <c r="BI2" i="9" s="1"/>
  <c r="BI3" i="9" a="1"/>
  <c r="BI3" i="9" s="1"/>
  <c r="BJ5" i="9" a="1"/>
  <c r="BJ5" i="9" s="1"/>
  <c r="BJ6" i="9" a="1"/>
  <c r="BJ6" i="9" s="1"/>
  <c r="BF7" i="9" a="1"/>
  <c r="BF7" i="9" s="1"/>
  <c r="BG9" i="9" a="1"/>
  <c r="BG9" i="9" s="1"/>
  <c r="BI11" i="9" a="1"/>
  <c r="BI11" i="9" s="1"/>
  <c r="BG12" i="9" a="1"/>
  <c r="BG12" i="9" s="1"/>
  <c r="BM13" i="9" a="1"/>
  <c r="BM13" i="9" s="1"/>
  <c r="BJ4" i="9" a="1"/>
  <c r="BJ4" i="9" s="1"/>
  <c r="BK8" i="9" a="1"/>
  <c r="BK8" i="9" s="1"/>
  <c r="BL10" i="9" a="1"/>
  <c r="BL10" i="9" s="1"/>
  <c r="BJ2" i="9" a="1"/>
  <c r="BJ2" i="9" s="1"/>
  <c r="BJ3" i="9" a="1"/>
  <c r="BJ3" i="9" s="1"/>
  <c r="BK5" i="9" a="1"/>
  <c r="BK5" i="9" s="1"/>
  <c r="BK6" i="9" a="1"/>
  <c r="BK6" i="9" s="1"/>
  <c r="BG7" i="9" a="1"/>
  <c r="BG7" i="9" s="1"/>
  <c r="BH9" i="9" a="1"/>
  <c r="BH9" i="9" s="1"/>
  <c r="BJ11" i="9" a="1"/>
  <c r="BJ11" i="9" s="1"/>
  <c r="BH12" i="9" a="1"/>
  <c r="BH12" i="9" s="1"/>
  <c r="BF13" i="9" a="1"/>
  <c r="BF13" i="9" s="1"/>
  <c r="BK4" i="9" a="1"/>
  <c r="BK4" i="9" s="1"/>
  <c r="BL8" i="9" a="1"/>
  <c r="BL8" i="9" s="1"/>
  <c r="BM10" i="9" a="1"/>
  <c r="BM10" i="9" s="1"/>
  <c r="BK2" i="9" a="1"/>
  <c r="BK2" i="9" s="1"/>
  <c r="BK3" i="9" a="1"/>
  <c r="BK3" i="9" s="1"/>
  <c r="BL5" i="9" a="1"/>
  <c r="BL5" i="9" s="1"/>
  <c r="BL6" i="9" a="1"/>
  <c r="BL6" i="9" s="1"/>
  <c r="BH7" i="9" a="1"/>
  <c r="BH7" i="9" s="1"/>
  <c r="BI9" i="9" a="1"/>
  <c r="BI9" i="9" s="1"/>
  <c r="BK11" i="9" a="1"/>
  <c r="BK11" i="9" s="1"/>
  <c r="BI12" i="9" a="1"/>
  <c r="BI12" i="9" s="1"/>
  <c r="BZ13" i="9" l="1" a="1"/>
  <c r="BZ13" i="9" s="1"/>
  <c r="BZ17" i="9" a="1"/>
  <c r="BZ17" i="9" s="1"/>
  <c r="BZ9" i="9" a="1"/>
  <c r="BZ9" i="9" s="1"/>
  <c r="BZ5" i="9" a="1"/>
  <c r="BZ5" i="9" s="1"/>
  <c r="BZ6" i="9" a="1"/>
  <c r="BZ6" i="9" s="1"/>
  <c r="BZ18" i="9" a="1"/>
  <c r="BZ18" i="9" s="1"/>
  <c r="BZ14" i="9" a="1"/>
  <c r="BZ14" i="9" s="1"/>
  <c r="BZ10" i="9" a="1"/>
  <c r="BZ10" i="9" s="1"/>
  <c r="AD26" i="4" l="1" a="1"/>
  <c r="AD26" i="4" s="1"/>
  <c r="AA3" i="9"/>
  <c r="AE3" i="9"/>
  <c r="D52" i="4" a="1"/>
  <c r="D52" i="4" s="1"/>
  <c r="AI3" i="9"/>
  <c r="AD52" i="4" a="1"/>
  <c r="AD52" i="4" s="1"/>
  <c r="D14" i="4" a="1"/>
  <c r="D14" i="4" s="1"/>
  <c r="W3" i="9"/>
  <c r="D8" i="4" a="1"/>
  <c r="D8" i="4" s="1"/>
  <c r="V3" i="9"/>
  <c r="AD20" i="4" a="1"/>
  <c r="AD20" i="4" s="1"/>
  <c r="Z3" i="9"/>
  <c r="AH3" i="9"/>
  <c r="AD46" i="4" a="1"/>
  <c r="AD46" i="4" s="1"/>
  <c r="D46" i="4" a="1"/>
  <c r="D46" i="4" s="1"/>
  <c r="AD3" i="9"/>
</calcChain>
</file>

<file path=xl/sharedStrings.xml><?xml version="1.0" encoding="utf-8"?>
<sst xmlns="http://schemas.openxmlformats.org/spreadsheetml/2006/main" count="6076" uniqueCount="933">
  <si>
    <t>A&amp;A VM-Tips 2026 – Deltagarmall</t>
  </si>
  <si>
    <t>Fält</t>
  </si>
  <si>
    <t>Instruktion</t>
  </si>
  <si>
    <t>Namn</t>
  </si>
  <si>
    <t>Fyll i ditt namn i cell B10.</t>
  </si>
  <si>
    <t>Insats</t>
  </si>
  <si>
    <t>300 kr per deltagare. Vinnaren får 80 % av potten och tvåan får 20 %.</t>
  </si>
  <si>
    <t>Så gör du</t>
  </si>
  <si>
    <t>Tipset består av fyra flikar:
 1. Gruppspel - Välj gruppettor, grupptvåor och grupptreor. Gruppfyran väljs automatiskt.
 2. Bästa grupptreor - Välj åtta av de tolv grupptreorna som du tror kommer gå till slutspel. Dessa kommer per automatik populeras till slutspelsträdet (baserat på FIFAS VM regler) tillsammans med dina gruppettor och grupptvåor
 3. Slutspelsträd - Fyll i ett fullständigt slutspelsträd med hjälp av rullistorna
 4. Skytteligarevinnare och utslagsfråga - Fyll i ditt val av skytteligavinnare i VM samt hur många mål du tror det blir i turneringen (utslagsfråga om det behövs)</t>
  </si>
  <si>
    <t>Skicka tillbaka</t>
  </si>
  <si>
    <t>Skicka tillbaka hela Excel-filen till Anders.   Anders.h.engstrom@gmail.com</t>
  </si>
  <si>
    <t>Viktigt</t>
  </si>
  <si>
    <t>Ändra inte fliknamn eller rubriker. Exportfliken används för att flytta dina tips till masterfilen.</t>
  </si>
  <si>
    <t>Deltagare:</t>
  </si>
  <si>
    <t>Prisfördelning:</t>
  </si>
  <si>
    <t>1:a plats: 80 % av potten, 2:a plats: 20 % av potten.</t>
  </si>
  <si>
    <t>Gruppspel – välj 1:a, 2:a och 3:a i varje grupp</t>
  </si>
  <si>
    <t>Välj lag från rullistorna. 4:e laget räknas fram automatiskt. Samma lag får inte väljas flera gånger i samma grupp.</t>
  </si>
  <si>
    <t>Grupp</t>
  </si>
  <si>
    <t>1:a</t>
  </si>
  <si>
    <t>2:a</t>
  </si>
  <si>
    <t>3:a</t>
  </si>
  <si>
    <t>4:a auto</t>
  </si>
  <si>
    <t>Kontroll</t>
  </si>
  <si>
    <t>Lag i gruppen</t>
  </si>
  <si>
    <t>A</t>
  </si>
  <si>
    <t>Sydkorea</t>
  </si>
  <si>
    <t>Mexiko</t>
  </si>
  <si>
    <t>Tjeckien</t>
  </si>
  <si>
    <t>Mexiko, Tjeckien, Sydafrika, Sydkorea</t>
  </si>
  <si>
    <t>B</t>
  </si>
  <si>
    <t>Schweiz</t>
  </si>
  <si>
    <t>Bosnien och Hercegovina</t>
  </si>
  <si>
    <t>Kanada</t>
  </si>
  <si>
    <t>Kanada, Bosnien och Hercegovina, Qatar, Schweiz</t>
  </si>
  <si>
    <t>C</t>
  </si>
  <si>
    <t>Brasilien</t>
  </si>
  <si>
    <t>Marocko</t>
  </si>
  <si>
    <t>Skottland</t>
  </si>
  <si>
    <t>Brasilien, Haiti, Marocko, Skottland</t>
  </si>
  <si>
    <t>D</t>
  </si>
  <si>
    <t>Turkiet</t>
  </si>
  <si>
    <t>USA</t>
  </si>
  <si>
    <t>Paraguay</t>
  </si>
  <si>
    <t>USA, Australien, Paraguay, Turkiet</t>
  </si>
  <si>
    <t>E</t>
  </si>
  <si>
    <t>Tyskland</t>
  </si>
  <si>
    <t>Ecuador</t>
  </si>
  <si>
    <t>Elfenbenskusten</t>
  </si>
  <si>
    <t>Curaçao, Ecuador, Tyskland, Elfenbenskusten</t>
  </si>
  <si>
    <t>F</t>
  </si>
  <si>
    <t>Nederländerna</t>
  </si>
  <si>
    <t>Japan</t>
  </si>
  <si>
    <t>Sverige</t>
  </si>
  <si>
    <t>Nederländerna, Japan, Sverige, Tunisien</t>
  </si>
  <si>
    <t>G</t>
  </si>
  <si>
    <t>Belgien</t>
  </si>
  <si>
    <t>Egypten</t>
  </si>
  <si>
    <t>Iran</t>
  </si>
  <si>
    <t>Belgien, Egypten, Iran, Nya Zeeland</t>
  </si>
  <si>
    <t>H</t>
  </si>
  <si>
    <t>Spanien</t>
  </si>
  <si>
    <t>Uruguay</t>
  </si>
  <si>
    <t>Saudiarabien</t>
  </si>
  <si>
    <t>Kap Verde, Saudiarabien, Spanien, Uruguay</t>
  </si>
  <si>
    <t>I</t>
  </si>
  <si>
    <t>Frankrike</t>
  </si>
  <si>
    <t>Norge</t>
  </si>
  <si>
    <t>Senegal</t>
  </si>
  <si>
    <t>Frankrike, Norge, Senegal, Irak</t>
  </si>
  <si>
    <t>J</t>
  </si>
  <si>
    <t>Argentina</t>
  </si>
  <si>
    <t>Österrike</t>
  </si>
  <si>
    <t>Algeriet</t>
  </si>
  <si>
    <t>Algeriet, Argentina, Österrike, Jordanien</t>
  </si>
  <si>
    <t>K</t>
  </si>
  <si>
    <t>Portugal</t>
  </si>
  <si>
    <t>Colombia</t>
  </si>
  <si>
    <t>DR Kongo</t>
  </si>
  <si>
    <t>Colombia, DR Kongo, Portugal, Uzbekistan</t>
  </si>
  <si>
    <t>L</t>
  </si>
  <si>
    <t>Kroatien</t>
  </si>
  <si>
    <t>England</t>
  </si>
  <si>
    <t>Panama</t>
  </si>
  <si>
    <t>Kroatien, England, Ghana, Panama</t>
  </si>
  <si>
    <t>KOMPLETT</t>
  </si>
  <si>
    <t>Sammanfattning till master</t>
  </si>
  <si>
    <t>Gruppvinnare</t>
  </si>
  <si>
    <t>Grupptvåa</t>
  </si>
  <si>
    <t>Grupptrea</t>
  </si>
  <si>
    <t>Gruppspel – bästa treor</t>
  </si>
  <si>
    <t>Välj de åtta bästa grupptreorna som går vidare till slutspelet. Dina grupptreor finns i rullistan</t>
  </si>
  <si>
    <t>Välj i rullistan</t>
  </si>
  <si>
    <t>Slutspelsträd</t>
  </si>
  <si>
    <t>Sextondelsfinal</t>
  </si>
  <si>
    <t>M74</t>
  </si>
  <si>
    <t>M76</t>
  </si>
  <si>
    <t>Åttondelsfinal</t>
  </si>
  <si>
    <t>M89</t>
  </si>
  <si>
    <t>M91</t>
  </si>
  <si>
    <t>M77</t>
  </si>
  <si>
    <t>M78</t>
  </si>
  <si>
    <t>Kvartsfinal</t>
  </si>
  <si>
    <t>M97</t>
  </si>
  <si>
    <t>M99</t>
  </si>
  <si>
    <t>M73</t>
  </si>
  <si>
    <t>Vinnare</t>
  </si>
  <si>
    <t>M79</t>
  </si>
  <si>
    <t>M90</t>
  </si>
  <si>
    <t>M92</t>
  </si>
  <si>
    <t>M104</t>
  </si>
  <si>
    <t>Final</t>
  </si>
  <si>
    <t>M75</t>
  </si>
  <si>
    <t>M80</t>
  </si>
  <si>
    <t>Semifinal</t>
  </si>
  <si>
    <t>M101</t>
  </si>
  <si>
    <t>M102</t>
  </si>
  <si>
    <t>M83</t>
  </si>
  <si>
    <t>M86</t>
  </si>
  <si>
    <t>Bronsmatch</t>
  </si>
  <si>
    <t>M93</t>
  </si>
  <si>
    <t>M103</t>
  </si>
  <si>
    <t>M95</t>
  </si>
  <si>
    <t>M84</t>
  </si>
  <si>
    <t>3e plats</t>
  </si>
  <si>
    <t>M88</t>
  </si>
  <si>
    <t>M98</t>
  </si>
  <si>
    <t>M100</t>
  </si>
  <si>
    <t>M81</t>
  </si>
  <si>
    <t>M85</t>
  </si>
  <si>
    <t>M94</t>
  </si>
  <si>
    <t>M96</t>
  </si>
  <si>
    <t>M82</t>
  </si>
  <si>
    <t>M87</t>
  </si>
  <si>
    <t>Skytteligavinnare och utslagsfråga</t>
  </si>
  <si>
    <t>Välj skytteligavinnare och hur många mål det blir i VM totalt som utslagsfråga</t>
  </si>
  <si>
    <t>Vem vinner skytteligan?</t>
  </si>
  <si>
    <t>Kylian Mbappe</t>
  </si>
  <si>
    <t>Antal mål i turneringen</t>
  </si>
  <si>
    <t>Officiella grupper VM 2026</t>
  </si>
  <si>
    <t>Färgkodning</t>
  </si>
  <si>
    <t>Lag</t>
  </si>
  <si>
    <t>Kortnamn</t>
  </si>
  <si>
    <t>Kommentar</t>
  </si>
  <si>
    <t>Färg</t>
  </si>
  <si>
    <t>Antal lag</t>
  </si>
  <si>
    <t>MEX</t>
  </si>
  <si>
    <t>TJE</t>
  </si>
  <si>
    <t>Sydafrika</t>
  </si>
  <si>
    <t>SYD</t>
  </si>
  <si>
    <t>KAN</t>
  </si>
  <si>
    <t>BOS</t>
  </si>
  <si>
    <t>Qatar</t>
  </si>
  <si>
    <t>QAT</t>
  </si>
  <si>
    <t>SCH</t>
  </si>
  <si>
    <t>BRA</t>
  </si>
  <si>
    <t>Haiti</t>
  </si>
  <si>
    <t>HAI</t>
  </si>
  <si>
    <t>MAR</t>
  </si>
  <si>
    <t>SKO</t>
  </si>
  <si>
    <t>Australien</t>
  </si>
  <si>
    <t>AUS</t>
  </si>
  <si>
    <t>PAR</t>
  </si>
  <si>
    <t>TUR</t>
  </si>
  <si>
    <t>Curaçao</t>
  </si>
  <si>
    <t>CUR</t>
  </si>
  <si>
    <t>ECU</t>
  </si>
  <si>
    <t>TYS</t>
  </si>
  <si>
    <t>ELF</t>
  </si>
  <si>
    <t>NED</t>
  </si>
  <si>
    <t>JAP</t>
  </si>
  <si>
    <t>SVE</t>
  </si>
  <si>
    <t>Tunisien</t>
  </si>
  <si>
    <t>TUN</t>
  </si>
  <si>
    <t>BEL</t>
  </si>
  <si>
    <t>EGY</t>
  </si>
  <si>
    <t>IRA</t>
  </si>
  <si>
    <t>Nya Zeeland</t>
  </si>
  <si>
    <t>NYA</t>
  </si>
  <si>
    <t>Kap Verde</t>
  </si>
  <si>
    <t>KAP</t>
  </si>
  <si>
    <t>SAU</t>
  </si>
  <si>
    <t>SPA</t>
  </si>
  <si>
    <t>URU</t>
  </si>
  <si>
    <t>FRA</t>
  </si>
  <si>
    <t>NOR</t>
  </si>
  <si>
    <t>SEN</t>
  </si>
  <si>
    <t>Irak</t>
  </si>
  <si>
    <t>ALG</t>
  </si>
  <si>
    <t>ARG</t>
  </si>
  <si>
    <t>ÖST</t>
  </si>
  <si>
    <t>Jordanien</t>
  </si>
  <si>
    <t>JOR</t>
  </si>
  <si>
    <t>COL</t>
  </si>
  <si>
    <t xml:space="preserve">DR </t>
  </si>
  <si>
    <t>POR</t>
  </si>
  <si>
    <t>Uzbekistan</t>
  </si>
  <si>
    <t>UZB</t>
  </si>
  <si>
    <t>KRO</t>
  </si>
  <si>
    <t>ENG</t>
  </si>
  <si>
    <t>Ghana</t>
  </si>
  <si>
    <t>GHA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</si>
  <si>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</si>
  <si>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</si>
  <si>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</si>
  <si>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</si>
  <si>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</si>
  <si>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</si>
  <si>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</si>
  <si>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</si>
  <si>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</si>
  <si>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</si>
  <si>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</si>
  <si>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</si>
  <si>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</si>
  <si>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</si>
  <si>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</si>
  <si>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</si>
  <si>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</si>
  <si>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</si>
  <si>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</si>
  <si>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</si>
  <si>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</si>
  <si>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</si>
  <si>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</si>
  <si>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</si>
  <si>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</si>
  <si>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</si>
  <si>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</si>
  <si>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</si>
  <si>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</si>
  <si>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</si>
  <si>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</si>
  <si>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</si>
  <si>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</si>
  <si>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</si>
  <si>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</si>
  <si>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</si>
  <si>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</si>
  <si>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</si>
  <si>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</si>
  <si>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</si>
  <si>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</si>
  <si>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</si>
  <si>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</si>
  <si>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</si>
  <si>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</si>
  <si>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</si>
  <si>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</si>
  <si>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</si>
  <si>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</si>
  <si>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</si>
  <si>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</si>
  <si>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</si>
  <si>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</si>
  <si>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</si>
  <si>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</si>
  <si>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</si>
  <si>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</si>
  <si>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</si>
  <si>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</si>
  <si>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</si>
  <si>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</si>
  <si>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</si>
  <si>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</si>
  <si>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</si>
  <si>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</si>
  <si>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</si>
  <si>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</si>
  <si>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</si>
  <si>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</si>
  <si>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</si>
  <si>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</si>
  <si>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</si>
  <si>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</si>
  <si>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</si>
  <si>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</si>
  <si>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</si>
  <si>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</si>
  <si>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</si>
  <si>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</si>
  <si>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</si>
  <si>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</si>
  <si>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</si>
  <si>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</si>
  <si>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</si>
  <si>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</si>
  <si>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</si>
  <si>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</si>
  <si>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</si>
  <si>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</si>
  <si>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</si>
  <si>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</si>
  <si>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</si>
  <si>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</si>
  <si>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</si>
  <si>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</si>
  <si>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</si>
  <si>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</si>
  <si>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</si>
  <si>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</si>
  <si>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</si>
  <si>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</si>
  <si>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</si>
  <si>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</si>
  <si>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</si>
  <si>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</si>
  <si>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</si>
  <si>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</si>
  <si>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</si>
  <si>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</si>
  <si>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</si>
  <si>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</si>
  <si>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</si>
  <si>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</si>
  <si>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Option</t>
  </si>
  <si>
    <t>Kombination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</si>
  <si>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</si>
  <si>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</si>
  <si>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</si>
  <si>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</si>
  <si>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</si>
  <si>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</si>
  <si>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</si>
  <si>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</si>
  <si>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</si>
  <si>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</si>
  <si>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</si>
  <si>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</si>
  <si>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</si>
  <si>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</si>
  <si>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</si>
  <si>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</si>
  <si>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</si>
  <si>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</si>
  <si>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</si>
  <si>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</si>
  <si>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</si>
  <si>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</si>
  <si>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</si>
  <si>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</si>
  <si>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</si>
  <si>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</si>
  <si>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</si>
  <si>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</si>
  <si>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</si>
  <si>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</si>
  <si>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</si>
  <si>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</si>
  <si>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</si>
  <si>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</si>
  <si>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</si>
  <si>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</si>
  <si>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</si>
  <si>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</si>
  <si>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</si>
  <si>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</si>
  <si>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</si>
  <si>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</si>
  <si>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</si>
  <si>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</si>
  <si>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</si>
  <si>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</si>
  <si>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</si>
  <si>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</si>
  <si>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</si>
  <si>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</si>
  <si>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</si>
  <si>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</si>
  <si>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</si>
  <si>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</si>
  <si>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</si>
  <si>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</si>
  <si>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</si>
  <si>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</si>
  <si>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</si>
  <si>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</si>
  <si>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</si>
  <si>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</si>
  <si>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</si>
  <si>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</si>
  <si>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</si>
  <si>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</si>
  <si>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</si>
  <si>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</si>
  <si>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</si>
  <si>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</si>
  <si>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</si>
  <si>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</si>
  <si>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</si>
  <si>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</si>
  <si>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</si>
  <si>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</si>
  <si>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</si>
  <si>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</si>
  <si>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</si>
  <si>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</si>
  <si>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</si>
  <si>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</si>
  <si>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</si>
  <si>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</si>
  <si>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</si>
  <si>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</si>
  <si>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</si>
  <si>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</si>
  <si>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</si>
  <si>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</si>
  <si>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</si>
  <si>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</si>
  <si>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</si>
  <si>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</si>
  <si>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</si>
  <si>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</si>
  <si>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</si>
  <si>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</si>
  <si>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</si>
  <si>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</si>
  <si>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</si>
  <si>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</si>
  <si>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</si>
  <si>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</si>
  <si>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</si>
  <si>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</si>
  <si>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</si>
  <si>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</si>
  <si>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</si>
  <si>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</si>
  <si>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</si>
  <si>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</si>
  <si>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</si>
  <si>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</si>
  <si>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</si>
  <si>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</si>
  <si>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</si>
  <si>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</si>
  <si>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</si>
  <si>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</si>
  <si>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</si>
  <si>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</si>
  <si>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</si>
  <si>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</si>
  <si>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</si>
  <si>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</si>
  <si>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</si>
  <si>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</si>
  <si>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</si>
  <si>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</si>
  <si>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</si>
  <si>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</si>
  <si>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</si>
  <si>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</si>
  <si>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</si>
  <si>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</si>
  <si>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</si>
  <si>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</si>
  <si>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</si>
  <si>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</si>
  <si>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</si>
  <si>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</si>
  <si>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</si>
  <si>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</si>
  <si>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</si>
  <si>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</si>
  <si>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</si>
  <si>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</si>
  <si>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</si>
  <si>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</si>
  <si>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</si>
  <si>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</si>
  <si>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</si>
  <si>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</si>
  <si>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</si>
  <si>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</si>
  <si>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</si>
  <si>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</si>
  <si>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</si>
  <si>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</si>
  <si>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</si>
  <si>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</si>
  <si>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</si>
  <si>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</si>
  <si>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</si>
  <si>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</si>
  <si>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</si>
  <si>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</si>
  <si>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</si>
  <si>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</si>
  <si>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</si>
  <si>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</si>
  <si>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</si>
  <si>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</si>
  <si>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</si>
  <si>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</si>
  <si>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</si>
  <si>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</si>
  <si>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</si>
  <si>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</si>
  <si>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</si>
  <si>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</si>
  <si>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</si>
  <si>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</si>
  <si>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</si>
  <si>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</si>
  <si>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</si>
  <si>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</si>
  <si>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</si>
  <si>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</si>
  <si>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</si>
  <si>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</si>
  <si>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</si>
  <si>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</si>
  <si>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</si>
  <si>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</si>
  <si>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</si>
  <si>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</si>
  <si>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</si>
  <si>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</si>
  <si>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</si>
  <si>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</si>
  <si>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</si>
  <si>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</si>
  <si>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</si>
  <si>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</si>
  <si>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</si>
  <si>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</si>
  <si>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</si>
  <si>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</si>
  <si>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</si>
  <si>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</si>
  <si>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</si>
  <si>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</si>
  <si>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</si>
  <si>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</si>
  <si>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</si>
  <si>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</si>
  <si>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</si>
  <si>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</si>
  <si>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</si>
  <si>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</si>
  <si>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</si>
  <si>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</si>
  <si>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</si>
  <si>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</si>
  <si>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</si>
  <si>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</si>
  <si>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</si>
  <si>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</si>
  <si>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</si>
  <si>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</si>
  <si>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</si>
  <si>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</si>
  <si>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</si>
  <si>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</si>
  <si>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</si>
  <si>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</si>
  <si>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</si>
  <si>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</si>
  <si>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</si>
  <si>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</si>
  <si>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</si>
  <si>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</si>
  <si>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</si>
  <si>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</si>
  <si>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</si>
  <si>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</si>
  <si>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</si>
  <si>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</si>
  <si>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</si>
  <si>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</si>
  <si>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</si>
  <si>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</si>
  <si>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</si>
  <si>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</si>
  <si>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</si>
  <si>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</si>
  <si>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</si>
  <si>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</si>
  <si>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</si>
  <si>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</si>
  <si>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</si>
  <si>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</si>
  <si>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</si>
  <si>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</si>
  <si>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</si>
  <si>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</si>
  <si>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</si>
  <si>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</si>
  <si>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</si>
  <si>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</si>
  <si>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</si>
  <si>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</si>
  <si>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</si>
  <si>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</si>
  <si>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</si>
  <si>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</si>
  <si>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</si>
  <si>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</si>
  <si>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</si>
  <si>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</si>
  <si>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</si>
  <si>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</si>
  <si>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</si>
  <si>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</si>
  <si>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</si>
  <si>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</si>
  <si>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</si>
  <si>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</si>
  <si>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</si>
  <si>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</si>
  <si>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</si>
  <si>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</si>
  <si>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</si>
  <si>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</si>
  <si>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</si>
  <si>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</si>
  <si>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</si>
  <si>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</si>
  <si>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</si>
  <si>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</si>
  <si>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</si>
  <si>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</si>
  <si>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</si>
  <si>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</si>
  <si>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</si>
  <si>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</si>
  <si>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</si>
  <si>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</si>
  <si>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</si>
  <si>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</si>
  <si>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</si>
  <si>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</si>
  <si>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</si>
  <si>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</si>
  <si>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</si>
  <si>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</si>
  <si>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</si>
  <si>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</si>
  <si>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</si>
  <si>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</si>
  <si>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</si>
  <si>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</si>
  <si>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</si>
  <si>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</si>
  <si>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</si>
  <si>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</si>
  <si>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</si>
  <si>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</si>
  <si>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</si>
  <si>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</si>
  <si>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</si>
  <si>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</si>
  <si>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</si>
  <si>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</si>
  <si>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</si>
  <si>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</si>
  <si>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</si>
  <si>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</si>
  <si>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</si>
  <si>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</si>
  <si>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</si>
  <si>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</si>
  <si>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</si>
  <si>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</si>
  <si>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</si>
  <si>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</si>
  <si>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</si>
  <si>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</si>
  <si>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</si>
  <si>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</si>
  <si>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</si>
  <si>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</si>
  <si>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</si>
  <si>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</si>
  <si>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</si>
  <si>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</si>
  <si>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</si>
  <si>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</si>
  <si>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</si>
  <si>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</si>
  <si>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</si>
  <si>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</si>
  <si>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</si>
  <si>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</si>
  <si>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</si>
  <si>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</si>
  <si>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</si>
  <si>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</si>
  <si>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</si>
  <si>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</si>
  <si>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</si>
  <si>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</si>
  <si>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</si>
  <si>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</si>
  <si>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</si>
  <si>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</si>
  <si>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</si>
  <si>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</si>
  <si>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</si>
  <si>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</si>
  <si>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</si>
  <si>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</si>
  <si>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</si>
  <si>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</si>
  <si>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</si>
  <si>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</si>
  <si>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</si>
  <si>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</si>
  <si>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</si>
  <si>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</si>
  <si>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</si>
  <si>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</si>
  <si>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</si>
  <si>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</si>
  <si>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</si>
  <si>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</si>
  <si>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</si>
  <si>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</si>
  <si>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</si>
  <si>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</si>
  <si>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</si>
  <si>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</si>
  <si>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</si>
  <si>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</si>
  <si>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</si>
  <si>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</si>
  <si>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</si>
  <si>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</si>
  <si>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</si>
  <si>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</si>
  <si>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</si>
  <si>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</si>
  <si>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</si>
  <si>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</si>
  <si>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</si>
  <si>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</si>
  <si>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</si>
  <si>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</si>
  <si>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</si>
  <si>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</si>
  <si>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</si>
  <si>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</si>
  <si>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</si>
  <si>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</si>
  <si>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</si>
  <si>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</si>
  <si>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</si>
  <si>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</si>
  <si>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</si>
  <si>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</si>
  <si>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</si>
  <si>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</si>
  <si>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</si>
  <si>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</si>
  <si>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</si>
  <si>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</si>
  <si>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</si>
  <si>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</si>
  <si>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</si>
  <si>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</si>
  <si>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</si>
  <si>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</si>
  <si>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</si>
  <si>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</si>
  <si>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</si>
  <si>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</si>
  <si>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</si>
  <si>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</si>
  <si>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</si>
  <si>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</si>
  <si>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</si>
  <si>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</si>
  <si>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</si>
  <si>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</si>
  <si>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</si>
  <si>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</si>
  <si>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</si>
  <si>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</si>
  <si>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</si>
  <si>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</si>
  <si>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</si>
  <si>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</si>
  <si>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</si>
  <si>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</si>
  <si>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</si>
  <si>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</si>
  <si>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</si>
  <si>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</si>
  <si>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</si>
  <si>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</si>
  <si>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</si>
  <si>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</si>
  <si>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</si>
  <si>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</si>
  <si>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</si>
  <si>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</si>
  <si>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</si>
  <si>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</si>
  <si>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</si>
  <si>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</si>
  <si>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</si>
  <si>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</si>
  <si>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</si>
  <si>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</si>
  <si>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</si>
  <si>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</si>
  <si>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</si>
  <si>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</si>
  <si>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</si>
  <si>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</si>
  <si>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</si>
  <si>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</si>
  <si>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</si>
  <si>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</si>
  <si>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</si>
  <si>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</si>
  <si>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</si>
  <si>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</si>
  <si>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</si>
  <si>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</si>
  <si>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</si>
  <si>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</si>
  <si>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</si>
  <si>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</si>
  <si>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</si>
  <si>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</si>
  <si>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</si>
  <si>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</si>
  <si>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</si>
  <si>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</si>
  <si>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</si>
  <si>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</si>
  <si>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</si>
  <si>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</si>
  <si>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</si>
  <si>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</si>
  <si>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</si>
  <si>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</si>
  <si>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</si>
  <si>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</si>
  <si>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</si>
  <si>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</si>
  <si>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</si>
  <si>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</si>
  <si>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</si>
  <si>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</si>
  <si>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FINAL</t>
  </si>
  <si>
    <t>QF_4</t>
  </si>
  <si>
    <t>SF_1</t>
  </si>
  <si>
    <t>SF_2</t>
  </si>
  <si>
    <t>Valda lag</t>
  </si>
  <si>
    <t>Valbara B25</t>
  </si>
  <si>
    <t>Valbara B26</t>
  </si>
  <si>
    <t>Valbara B27</t>
  </si>
  <si>
    <t>Valbara B28</t>
  </si>
  <si>
    <t>Valbara B29</t>
  </si>
  <si>
    <t>Valbara B30</t>
  </si>
  <si>
    <t>Valbara B31</t>
  </si>
  <si>
    <t>Valbara B32</t>
  </si>
  <si>
    <t>Valda grupper</t>
  </si>
  <si>
    <t>Vidare från gruppspel / första utslagsrundan</t>
  </si>
  <si>
    <t>Första utslagsrundan (M73–M88)</t>
  </si>
  <si>
    <t>Nr</t>
  </si>
  <si>
    <t>Typ</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</si>
  <si>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</si>
  <si>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</si>
  <si>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</si>
  <si>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</si>
  <si>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</si>
  <si>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</si>
  <si>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</si>
  <si>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</si>
  <si>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</si>
  <si>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</si>
  <si>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</si>
  <si>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</si>
  <si>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</si>
  <si>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</si>
  <si>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</si>
  <si>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</si>
  <si>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</si>
  <si>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</si>
  <si>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</si>
  <si>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</si>
  <si>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</si>
  <si>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</si>
  <si>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</si>
  <si>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</si>
  <si>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</si>
  <si>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</si>
  <si>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</si>
  <si>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</si>
  <si>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</si>
  <si>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</si>
  <si>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</si>
  <si>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</si>
  <si>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</si>
  <si>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</si>
  <si>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</si>
  <si>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</si>
  <si>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</si>
  <si>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</si>
  <si>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</si>
  <si>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</si>
  <si>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</si>
  <si>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</si>
  <si>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</si>
  <si>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</si>
  <si>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</si>
  <si>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</si>
  <si>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</si>
  <si>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</si>
  <si>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</si>
  <si>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</si>
  <si>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</si>
  <si>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</si>
  <si>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</si>
  <si>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</si>
  <si>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</si>
  <si>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</si>
  <si>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</si>
  <si>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</si>
  <si>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</si>
  <si>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</si>
  <si>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</si>
  <si>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</si>
  <si>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</si>
  <si>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</si>
  <si>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</si>
  <si>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</si>
  <si>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</si>
  <si>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</si>
  <si>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Emelie</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</si>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</sst>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scheme val="minor"/>
    </font>
    <font>
      <b/>
      <sz val="16"/>
      <color rgb="FFFFFFFF"/>
      <name val="Calibri"/>
      <family val="2"/>
    </font>
    <font>
      <sz val="11"/>
      <name val="Calibri"/>
      <family val="2"/>
    </font>
    <font>
      <sz val="11"/>
      <color theme="1"/>
      <name val="Calibri"/>
      <family val="2"/>
    </font>
    <font>
      <b/>
      <sz val="11"/>
      <color rgb="FFFFFFFF"/>
      <name val="Calibri"/>
      <family val="2"/>
    </font>
    <font>
      <b/>
      <sz val="11"/>
      <color theme="1"/>
      <name val="Calibri"/>
      <family val="2"/>
    </font>
    <font>
      <i/>
      <sz val="11"/>
      <color rgb="FF333333"/>
      <name val="Calibri"/>
      <family val="2"/>
    </font>
    <font>
      <b/>
      <sz val="11"/>
      <color rgb="FFB91C1C"/>
      <name val="Calibri"/>
      <family val="2"/>
    </font>
    <font>
      <sz val="11"/>
      <color rgb="FF666666"/>
      <name val="Calibri"/>
      <family val="2"/>
    </font>
    <font>
      <sz val="11"/>
      <color rgb="FFFFFFFF"/>
      <name val="Calibri"/>
      <family val="2"/>
    </font>
    <font>
      <b/>
      <sz val="14"/>
      <color theme="1"/>
      <name val="Calibri"/>
      <family val="2"/>
    </font>
    <font>
      <i/>
      <sz val="11"/>
      <color rgb="FF666666"/>
      <name val="Calibri"/>
      <family val="2"/>
    </font>
    <font>
      <b/>
      <sz val="11"/>
      <color rgb="FF1F4E78"/>
      <name val="Calibri"/>
      <family val="2"/>
    </font>
    <font>
      <b/>
      <sz val="16"/>
      <color theme="1"/>
      <name val="Calibri"/>
      <family val="2"/>
    </font>
    <font>
      <sz val="11"/>
      <color theme="1"/>
      <name val="Calibri"/>
      <family val="2"/>
    </font>
    <font>
      <b/>
      <sz val="14"/>
      <color rgb="FFFFFFFF"/>
      <name val="Calibri"/>
      <family val="2"/>
    </font>
  </fonts>
  <fills count="28">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EAF2F8"/>
        <bgColor rgb="FFEAF2F8"/>
      </patternFill>
    </fill>
    <fill>
      <patternFill patternType="solid">
        <fgColor rgb="FFF8F9FA"/>
        <bgColor rgb="FFF8F9FA"/>
      </patternFill>
    </fill>
    <fill>
      <patternFill patternType="solid">
        <fgColor rgb="FF5B9BD5"/>
        <bgColor rgb="FF5B9BD5"/>
      </patternFill>
    </fill>
    <fill>
      <patternFill patternType="solid">
        <fgColor rgb="FFFFFFFF"/>
        <bgColor rgb="FFFFFFFF"/>
      </patternFill>
    </fill>
    <fill>
      <patternFill patternType="solid">
        <fgColor rgb="FFDDEBF7"/>
        <bgColor rgb="FFDDEBF7"/>
      </patternFill>
    </fill>
    <fill>
      <patternFill patternType="solid">
        <fgColor rgb="FF70AD47"/>
        <bgColor rgb="FF70AD47"/>
      </patternFill>
    </fill>
    <fill>
      <patternFill patternType="solid">
        <fgColor rgb="FFE2F0D9"/>
        <bgColor rgb="FFE2F0D9"/>
      </patternFill>
    </fill>
    <fill>
      <patternFill patternType="solid">
        <fgColor rgb="FFFFC000"/>
        <bgColor rgb="FFFFC000"/>
      </patternFill>
    </fill>
    <fill>
      <patternFill patternType="solid">
        <fgColor rgb="FFED7D31"/>
        <bgColor rgb="FFED7D31"/>
      </patternFill>
    </fill>
    <fill>
      <patternFill patternType="solid">
        <fgColor rgb="FFFCE4D6"/>
        <bgColor rgb="FFFCE4D6"/>
      </patternFill>
    </fill>
    <fill>
      <patternFill patternType="solid">
        <fgColor rgb="FF7030A0"/>
        <bgColor rgb="FF7030A0"/>
      </patternFill>
    </fill>
    <fill>
      <patternFill patternType="solid">
        <fgColor rgb="FFEADCF8"/>
        <bgColor rgb="FFEADCF8"/>
      </patternFill>
    </fill>
    <fill>
      <patternFill patternType="solid">
        <fgColor rgb="FF548235"/>
        <bgColor rgb="FF548235"/>
      </patternFill>
    </fill>
    <fill>
      <patternFill patternType="solid">
        <fgColor rgb="FFD9EAD3"/>
        <bgColor rgb="FFD9EAD3"/>
      </patternFill>
    </fill>
    <fill>
      <patternFill patternType="solid">
        <fgColor rgb="FFC00000"/>
        <bgColor rgb="FFC00000"/>
      </patternFill>
    </fill>
    <fill>
      <patternFill patternType="solid">
        <fgColor rgb="FFF4CCCC"/>
        <bgColor rgb="FFF4CCCC"/>
      </patternFill>
    </fill>
    <fill>
      <patternFill patternType="solid">
        <fgColor rgb="FF4472C4"/>
        <bgColor rgb="FF4472C4"/>
      </patternFill>
    </fill>
    <fill>
      <patternFill patternType="solid">
        <fgColor rgb="FF00B050"/>
        <bgColor rgb="FF00B050"/>
      </patternFill>
    </fill>
    <fill>
      <patternFill patternType="solid">
        <fgColor rgb="FFBF9000"/>
        <bgColor rgb="FFBF9000"/>
      </patternFill>
    </fill>
    <fill>
      <patternFill patternType="solid">
        <fgColor rgb="FFC55A11"/>
        <bgColor rgb="FFC55A11"/>
      </patternFill>
    </fill>
    <fill>
      <patternFill patternType="solid">
        <fgColor rgb="FF8064A2"/>
        <bgColor rgb="FF8064A2"/>
      </patternFill>
    </fill>
    <fill>
      <patternFill patternType="solid">
        <fgColor rgb="FFC6EFCE"/>
        <bgColor rgb="FFC6EFCE"/>
      </patternFill>
    </fill>
    <fill>
      <patternFill patternType="solid">
        <fgColor rgb="FFFDE9D9"/>
        <bgColor rgb="FFFDE9D9"/>
      </patternFill>
    </fill>
    <fill>
      <patternFill patternType="solid">
        <fgColor rgb="FFD9EAF7"/>
        <bgColor rgb="FFD9EAF7"/>
      </patternFill>
    </fill>
  </fills>
  <borders count="35">
    <border>
      <left/>
      <right/>
      <top/>
      <bottom/>
      <diagonal/>
    </border>
    <border>
      <left style="thin">
        <color rgb="FFD9E2F3"/>
      </left>
      <right/>
      <top style="thin">
        <color rgb="FFD9E2F3"/>
      </top>
      <bottom style="thin">
        <color rgb="FFD9E2F3"/>
      </bottom>
      <diagonal/>
    </border>
    <border>
      <left/>
      <right/>
      <top style="thin">
        <color rgb="FFD9E2F3"/>
      </top>
      <bottom style="thin">
        <color rgb="FFD9E2F3"/>
      </bottom>
      <diagonal/>
    </border>
    <border>
      <left style="thin">
        <color rgb="FF000000"/>
      </left>
      <right style="thin">
        <color rgb="FF000000"/>
      </right>
      <top style="thin">
        <color rgb="FF000000"/>
      </top>
      <bottom style="thin">
        <color rgb="FF000000"/>
      </bottom>
      <diagonal/>
    </border>
    <border>
      <left/>
      <right style="thin">
        <color rgb="FFD9E2F3"/>
      </right>
      <top style="thin">
        <color rgb="FFD9E2F3"/>
      </top>
      <bottom style="thin">
        <color rgb="FFD9E2F3"/>
      </bottom>
      <diagonal/>
    </border>
    <border>
      <left/>
      <right/>
      <top/>
      <bottom/>
      <diagonal/>
    </border>
    <border>
      <left/>
      <right/>
      <top/>
      <bottom style="thin">
        <color rgb="FF000000"/>
      </bottom>
      <diagonal/>
    </border>
    <border>
      <left/>
      <right/>
      <top/>
      <bottom style="thin">
        <color rgb="FF000000"/>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style="thin">
        <color rgb="FFD9E2F3"/>
      </bottom>
      <diagonal/>
    </border>
    <border>
      <left/>
      <right/>
      <top/>
      <bottom/>
      <diagonal/>
    </border>
    <border>
      <left/>
      <right/>
      <top style="thin">
        <color rgb="FFD9E2F3"/>
      </top>
      <bottom/>
      <diagonal/>
    </border>
    <border>
      <left/>
      <right/>
      <top style="thin">
        <color rgb="FFD9E2F3"/>
      </top>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style="thin">
        <color rgb="FFD9E2F3"/>
      </right>
      <top style="thin">
        <color rgb="FFD9E2F3"/>
      </top>
      <bottom/>
      <diagonal/>
    </border>
    <border>
      <left/>
      <right style="medium">
        <color rgb="FF7F7F7F"/>
      </right>
      <top style="medium">
        <color rgb="FF7F7F7F"/>
      </top>
      <bottom style="medium">
        <color rgb="FF7F7F7F"/>
      </bottom>
      <diagonal/>
    </border>
  </borders>
  <cellStyleXfs count="1">
    <xf numFmtId="0" fontId="0" fillId="0" borderId="0"/>
  </cellStyleXfs>
  <cellXfs count="189">
    <xf numFmtId="0" fontId="0" fillId="0" borderId="0" xfId="0"/>
    <xf numFmtId="0" fontId="3" fillId="0" borderId="0" xfId="0" applyFont="1"/>
    <xf numFmtId="0" fontId="4" fillId="2" borderId="3" xfId="0" applyFont="1" applyFill="1" applyBorder="1" applyAlignment="1">
      <alignment horizontal="center" vertical="center" wrapText="1"/>
    </xf>
    <xf numFmtId="0" fontId="5" fillId="0" borderId="3" xfId="0" applyFont="1" applyBorder="1"/>
    <xf numFmtId="0" fontId="3" fillId="0" borderId="3" xfId="0" applyFont="1" applyBorder="1" applyAlignment="1">
      <alignment wrapText="1"/>
    </xf>
    <xf numFmtId="0" fontId="5" fillId="0" borderId="3" xfId="0" applyFont="1" applyBorder="1" applyAlignment="1">
      <alignment vertical="top"/>
    </xf>
    <xf numFmtId="0" fontId="3" fillId="0" borderId="3" xfId="0" applyFont="1" applyBorder="1" applyAlignment="1">
      <alignment horizontal="left" vertical="center" wrapText="1"/>
    </xf>
    <xf numFmtId="0" fontId="3" fillId="0" borderId="3" xfId="0" applyFont="1" applyBorder="1"/>
    <xf numFmtId="0" fontId="5" fillId="3" borderId="3" xfId="0" applyFont="1" applyFill="1" applyBorder="1"/>
    <xf numFmtId="0" fontId="1" fillId="2" borderId="5" xfId="0" applyFont="1" applyFill="1" applyBorder="1" applyAlignment="1">
      <alignment horizontal="center" vertical="center"/>
    </xf>
    <xf numFmtId="0" fontId="4" fillId="2" borderId="5" xfId="0" applyFont="1" applyFill="1" applyBorder="1" applyAlignment="1">
      <alignment horizontal="center"/>
    </xf>
    <xf numFmtId="0" fontId="3" fillId="5" borderId="5" xfId="0" applyFont="1" applyFill="1" applyBorder="1" applyAlignment="1">
      <alignment wrapText="1"/>
    </xf>
    <xf numFmtId="0" fontId="4" fillId="2"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3" fillId="8" borderId="3" xfId="0" applyFont="1" applyFill="1" applyBorder="1" applyAlignment="1">
      <alignment vertical="center" wrapText="1"/>
    </xf>
    <xf numFmtId="0" fontId="8" fillId="5" borderId="5" xfId="0" applyFont="1" applyFill="1" applyBorder="1" applyAlignment="1">
      <alignment wrapText="1"/>
    </xf>
    <xf numFmtId="0" fontId="8" fillId="5" borderId="5" xfId="0" applyFont="1" applyFill="1" applyBorder="1"/>
    <xf numFmtId="0" fontId="4" fillId="9" borderId="3" xfId="0" applyFont="1" applyFill="1" applyBorder="1" applyAlignment="1">
      <alignment horizontal="center" vertical="center" wrapText="1"/>
    </xf>
    <xf numFmtId="0" fontId="3" fillId="10" borderId="3" xfId="0" applyFont="1" applyFill="1" applyBorder="1" applyAlignment="1">
      <alignment vertical="center" wrapText="1"/>
    </xf>
    <xf numFmtId="0" fontId="4" fillId="11" borderId="3" xfId="0" applyFont="1" applyFill="1" applyBorder="1" applyAlignment="1">
      <alignment horizontal="center" vertical="center" wrapText="1"/>
    </xf>
    <xf numFmtId="0" fontId="3" fillId="3" borderId="3" xfId="0" applyFont="1" applyFill="1" applyBorder="1" applyAlignment="1">
      <alignment vertical="center" wrapText="1"/>
    </xf>
    <xf numFmtId="0" fontId="4" fillId="12" borderId="3" xfId="0" applyFont="1" applyFill="1" applyBorder="1" applyAlignment="1">
      <alignment horizontal="center" vertical="center" wrapText="1"/>
    </xf>
    <xf numFmtId="0" fontId="3" fillId="13" borderId="3" xfId="0" applyFont="1" applyFill="1" applyBorder="1" applyAlignment="1">
      <alignment vertical="center" wrapText="1"/>
    </xf>
    <xf numFmtId="0" fontId="4" fillId="14" borderId="3" xfId="0" applyFont="1" applyFill="1" applyBorder="1" applyAlignment="1">
      <alignment horizontal="center" vertical="center" wrapText="1"/>
    </xf>
    <xf numFmtId="0" fontId="3" fillId="15" borderId="3" xfId="0" applyFont="1" applyFill="1" applyBorder="1" applyAlignment="1">
      <alignment vertical="center" wrapText="1"/>
    </xf>
    <xf numFmtId="0" fontId="4" fillId="16" borderId="3" xfId="0" applyFont="1" applyFill="1" applyBorder="1" applyAlignment="1">
      <alignment horizontal="center" vertical="center" wrapText="1"/>
    </xf>
    <xf numFmtId="0" fontId="3" fillId="17" borderId="3" xfId="0" applyFont="1" applyFill="1" applyBorder="1" applyAlignment="1">
      <alignment vertical="center" wrapText="1"/>
    </xf>
    <xf numFmtId="0" fontId="4" fillId="18" borderId="3" xfId="0" applyFont="1" applyFill="1" applyBorder="1" applyAlignment="1">
      <alignment horizontal="center" vertical="center" wrapText="1"/>
    </xf>
    <xf numFmtId="0" fontId="3" fillId="19" borderId="3" xfId="0" applyFont="1" applyFill="1" applyBorder="1" applyAlignment="1">
      <alignment vertical="center" wrapText="1"/>
    </xf>
    <xf numFmtId="0" fontId="4" fillId="20" borderId="3" xfId="0" applyFont="1" applyFill="1" applyBorder="1" applyAlignment="1">
      <alignment horizontal="center" vertical="center" wrapText="1"/>
    </xf>
    <xf numFmtId="0" fontId="4" fillId="21" borderId="3" xfId="0" applyFont="1" applyFill="1" applyBorder="1" applyAlignment="1">
      <alignment horizontal="center" vertical="center" wrapText="1"/>
    </xf>
    <xf numFmtId="0" fontId="4" fillId="22" borderId="3" xfId="0" applyFont="1" applyFill="1" applyBorder="1" applyAlignment="1">
      <alignment horizontal="center" vertical="center" wrapText="1"/>
    </xf>
    <xf numFmtId="0" fontId="4" fillId="23" borderId="3" xfId="0" applyFont="1" applyFill="1" applyBorder="1" applyAlignment="1">
      <alignment horizontal="center" vertical="center" wrapText="1"/>
    </xf>
    <xf numFmtId="0" fontId="4" fillId="24" borderId="3" xfId="0" applyFont="1" applyFill="1" applyBorder="1" applyAlignment="1">
      <alignment horizontal="center" vertical="center" wrapText="1"/>
    </xf>
    <xf numFmtId="0" fontId="4" fillId="7" borderId="8" xfId="0" applyFont="1" applyFill="1" applyBorder="1" applyAlignment="1">
      <alignment horizontal="center" vertical="center"/>
    </xf>
    <xf numFmtId="0" fontId="9" fillId="7" borderId="8" xfId="0" applyFont="1" applyFill="1" applyBorder="1" applyAlignment="1">
      <alignment vertical="center"/>
    </xf>
    <xf numFmtId="0" fontId="9" fillId="7" borderId="8" xfId="0" applyFont="1" applyFill="1" applyBorder="1" applyAlignment="1">
      <alignment horizontal="center" vertical="center"/>
    </xf>
    <xf numFmtId="0" fontId="9" fillId="7" borderId="5" xfId="0" applyFont="1" applyFill="1" applyBorder="1"/>
    <xf numFmtId="0" fontId="4" fillId="7" borderId="9" xfId="0" applyFont="1" applyFill="1" applyBorder="1" applyAlignment="1">
      <alignment horizontal="center" vertical="center"/>
    </xf>
    <xf numFmtId="0" fontId="9" fillId="7" borderId="9" xfId="0" applyFont="1" applyFill="1" applyBorder="1" applyAlignment="1">
      <alignment vertical="center"/>
    </xf>
    <xf numFmtId="0" fontId="9" fillId="7" borderId="9" xfId="0" applyFont="1" applyFill="1" applyBorder="1" applyAlignment="1">
      <alignment horizontal="center" vertical="center"/>
    </xf>
    <xf numFmtId="0" fontId="9" fillId="7" borderId="10" xfId="0" applyFont="1" applyFill="1" applyBorder="1"/>
    <xf numFmtId="0" fontId="4" fillId="2" borderId="9" xfId="0" applyFont="1" applyFill="1" applyBorder="1" applyAlignment="1">
      <alignment horizontal="center" vertical="center" wrapText="1"/>
    </xf>
    <xf numFmtId="0" fontId="4" fillId="6" borderId="9" xfId="0" applyFont="1" applyFill="1" applyBorder="1" applyAlignment="1">
      <alignment horizontal="center" vertical="center"/>
    </xf>
    <xf numFmtId="0" fontId="3" fillId="8" borderId="9" xfId="0" applyFont="1" applyFill="1" applyBorder="1" applyAlignment="1">
      <alignment horizontal="center" vertical="center"/>
    </xf>
    <xf numFmtId="0" fontId="3" fillId="0" borderId="0" xfId="0" applyFont="1" applyAlignment="1">
      <alignment vertical="center" wrapText="1"/>
    </xf>
    <xf numFmtId="0" fontId="4" fillId="9" borderId="9" xfId="0" applyFont="1" applyFill="1" applyBorder="1" applyAlignment="1">
      <alignment horizontal="center" vertical="center"/>
    </xf>
    <xf numFmtId="0" fontId="3" fillId="10" borderId="9" xfId="0" applyFont="1" applyFill="1" applyBorder="1" applyAlignment="1">
      <alignment horizontal="center" vertical="center"/>
    </xf>
    <xf numFmtId="0" fontId="4" fillId="11" borderId="9" xfId="0" applyFont="1" applyFill="1" applyBorder="1" applyAlignment="1">
      <alignment horizontal="center" vertical="center"/>
    </xf>
    <xf numFmtId="0" fontId="3" fillId="3" borderId="9" xfId="0" applyFont="1" applyFill="1" applyBorder="1" applyAlignment="1">
      <alignment horizontal="center" vertical="center"/>
    </xf>
    <xf numFmtId="0" fontId="4" fillId="12" borderId="9" xfId="0" applyFont="1" applyFill="1" applyBorder="1" applyAlignment="1">
      <alignment horizontal="center" vertical="center"/>
    </xf>
    <xf numFmtId="0" fontId="3" fillId="13" borderId="9" xfId="0" applyFont="1" applyFill="1" applyBorder="1" applyAlignment="1">
      <alignment horizontal="center" vertical="center"/>
    </xf>
    <xf numFmtId="0" fontId="4" fillId="14" borderId="9" xfId="0" applyFont="1" applyFill="1" applyBorder="1" applyAlignment="1">
      <alignment horizontal="center" vertical="center"/>
    </xf>
    <xf numFmtId="0" fontId="3" fillId="15" borderId="9" xfId="0" applyFont="1" applyFill="1" applyBorder="1" applyAlignment="1">
      <alignment horizontal="center" vertical="center"/>
    </xf>
    <xf numFmtId="0" fontId="4" fillId="16" borderId="9" xfId="0" applyFont="1" applyFill="1" applyBorder="1" applyAlignment="1">
      <alignment horizontal="center" vertical="center"/>
    </xf>
    <xf numFmtId="0" fontId="3" fillId="17" borderId="9" xfId="0" applyFont="1" applyFill="1" applyBorder="1" applyAlignment="1">
      <alignment horizontal="center" vertical="center"/>
    </xf>
    <xf numFmtId="0" fontId="4" fillId="18" borderId="9" xfId="0" applyFont="1" applyFill="1" applyBorder="1" applyAlignment="1">
      <alignment horizontal="center" vertical="center"/>
    </xf>
    <xf numFmtId="0" fontId="3" fillId="19" borderId="9" xfId="0" applyFont="1" applyFill="1" applyBorder="1" applyAlignment="1">
      <alignment horizontal="center" vertical="center"/>
    </xf>
    <xf numFmtId="0" fontId="4" fillId="20" borderId="9" xfId="0" applyFont="1" applyFill="1" applyBorder="1" applyAlignment="1">
      <alignment horizontal="center" vertical="center"/>
    </xf>
    <xf numFmtId="0" fontId="4" fillId="21" borderId="9" xfId="0" applyFont="1" applyFill="1" applyBorder="1" applyAlignment="1">
      <alignment horizontal="center" vertical="center"/>
    </xf>
    <xf numFmtId="0" fontId="4" fillId="22" borderId="9" xfId="0" applyFont="1" applyFill="1" applyBorder="1" applyAlignment="1">
      <alignment horizontal="center" vertical="center"/>
    </xf>
    <xf numFmtId="0" fontId="4" fillId="23" borderId="9" xfId="0" applyFont="1" applyFill="1" applyBorder="1" applyAlignment="1">
      <alignment horizontal="center" vertical="center"/>
    </xf>
    <xf numFmtId="0" fontId="4" fillId="24" borderId="9" xfId="0" applyFont="1" applyFill="1" applyBorder="1" applyAlignment="1">
      <alignment horizontal="center" vertical="center"/>
    </xf>
    <xf numFmtId="0" fontId="11" fillId="0" borderId="0" xfId="0" applyFont="1" applyAlignment="1">
      <alignment wrapText="1"/>
    </xf>
    <xf numFmtId="0" fontId="12" fillId="0" borderId="0" xfId="0" applyFont="1"/>
    <xf numFmtId="0" fontId="5" fillId="3" borderId="13" xfId="0" applyFont="1" applyFill="1" applyBorder="1" applyAlignment="1">
      <alignment vertical="center" wrapText="1"/>
    </xf>
    <xf numFmtId="0" fontId="6" fillId="0" borderId="0" xfId="0" applyFont="1" applyAlignment="1">
      <alignment vertical="center"/>
    </xf>
    <xf numFmtId="0" fontId="5" fillId="0" borderId="0" xfId="0" applyFont="1"/>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5" fillId="0" borderId="21" xfId="0" applyFont="1" applyBorder="1"/>
    <xf numFmtId="0" fontId="5" fillId="0" borderId="17" xfId="0" applyFont="1" applyBorder="1" applyAlignment="1">
      <alignment horizontal="center"/>
    </xf>
    <xf numFmtId="0" fontId="5" fillId="0" borderId="0" xfId="0" applyFont="1" applyAlignment="1">
      <alignment horizontal="center"/>
    </xf>
    <xf numFmtId="0" fontId="13" fillId="0" borderId="0" xfId="0" applyFont="1" applyAlignment="1">
      <alignment vertical="center"/>
    </xf>
    <xf numFmtId="0" fontId="5" fillId="0" borderId="21" xfId="0" applyFont="1" applyBorder="1" applyAlignment="1">
      <alignment horizontal="center"/>
    </xf>
    <xf numFmtId="0" fontId="5" fillId="0" borderId="0" xfId="0" applyFont="1" applyAlignment="1">
      <alignment horizontal="center" vertical="center" wrapText="1"/>
    </xf>
    <xf numFmtId="0" fontId="5" fillId="27" borderId="13" xfId="0" applyFont="1" applyFill="1" applyBorder="1" applyAlignment="1">
      <alignment horizontal="center" vertical="center" wrapText="1"/>
    </xf>
    <xf numFmtId="0" fontId="5" fillId="0" borderId="0" xfId="0" applyFont="1" applyAlignment="1">
      <alignment horizontal="center" vertical="center"/>
    </xf>
    <xf numFmtId="0" fontId="5" fillId="3" borderId="13" xfId="0" applyFont="1" applyFill="1" applyBorder="1" applyAlignment="1">
      <alignment horizontal="center" vertical="center" wrapText="1"/>
    </xf>
    <xf numFmtId="0" fontId="5" fillId="0" borderId="17" xfId="0" applyFont="1" applyBorder="1" applyAlignment="1">
      <alignment horizontal="center" vertical="center" wrapText="1"/>
    </xf>
    <xf numFmtId="0" fontId="13" fillId="0" borderId="0" xfId="0" applyFont="1" applyAlignment="1">
      <alignment horizontal="center" vertic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0" xfId="0" applyFont="1" applyAlignment="1">
      <alignment horizontal="right" vertical="center"/>
    </xf>
    <xf numFmtId="0" fontId="3" fillId="0" borderId="13" xfId="0" applyFont="1" applyBorder="1" applyAlignment="1">
      <alignment horizontal="center"/>
    </xf>
    <xf numFmtId="0" fontId="3" fillId="0" borderId="0" xfId="0" applyFont="1" applyAlignment="1">
      <alignment horizontal="right"/>
    </xf>
    <xf numFmtId="0" fontId="1" fillId="0" borderId="0" xfId="0" applyFont="1" applyAlignment="1">
      <alignment vertical="center" wrapText="1"/>
    </xf>
    <xf numFmtId="0" fontId="5" fillId="8" borderId="9" xfId="0" applyFont="1" applyFill="1" applyBorder="1" applyAlignment="1">
      <alignment vertical="center"/>
    </xf>
    <xf numFmtId="0" fontId="3" fillId="8" borderId="9" xfId="0" applyFont="1" applyFill="1" applyBorder="1" applyAlignment="1">
      <alignment vertical="center"/>
    </xf>
    <xf numFmtId="0" fontId="3" fillId="8" borderId="5" xfId="0" applyFont="1" applyFill="1" applyBorder="1"/>
    <xf numFmtId="0" fontId="3" fillId="6" borderId="5" xfId="0" applyFont="1" applyFill="1" applyBorder="1"/>
    <xf numFmtId="0" fontId="3" fillId="10" borderId="5" xfId="0" applyFont="1" applyFill="1" applyBorder="1"/>
    <xf numFmtId="0" fontId="3" fillId="9" borderId="5" xfId="0" applyFont="1" applyFill="1" applyBorder="1"/>
    <xf numFmtId="0" fontId="3" fillId="3" borderId="5" xfId="0" applyFont="1" applyFill="1" applyBorder="1"/>
    <xf numFmtId="0" fontId="3" fillId="11" borderId="5" xfId="0" applyFont="1" applyFill="1" applyBorder="1"/>
    <xf numFmtId="0" fontId="3" fillId="13" borderId="5" xfId="0" applyFont="1" applyFill="1" applyBorder="1"/>
    <xf numFmtId="0" fontId="3" fillId="12" borderId="5" xfId="0" applyFont="1" applyFill="1" applyBorder="1"/>
    <xf numFmtId="0" fontId="5" fillId="10" borderId="9" xfId="0" applyFont="1" applyFill="1" applyBorder="1" applyAlignment="1">
      <alignment vertical="center"/>
    </xf>
    <xf numFmtId="0" fontId="3" fillId="10" borderId="9" xfId="0" applyFont="1" applyFill="1" applyBorder="1" applyAlignment="1">
      <alignment vertical="center"/>
    </xf>
    <xf numFmtId="0" fontId="3" fillId="15" borderId="5" xfId="0" applyFont="1" applyFill="1" applyBorder="1"/>
    <xf numFmtId="0" fontId="3" fillId="14" borderId="5" xfId="0" applyFont="1" applyFill="1" applyBorder="1"/>
    <xf numFmtId="0" fontId="3" fillId="17" borderId="5" xfId="0" applyFont="1" applyFill="1" applyBorder="1"/>
    <xf numFmtId="0" fontId="3" fillId="16" borderId="5" xfId="0" applyFont="1" applyFill="1" applyBorder="1"/>
    <xf numFmtId="0" fontId="3" fillId="19" borderId="5" xfId="0" applyFont="1" applyFill="1" applyBorder="1"/>
    <xf numFmtId="0" fontId="3" fillId="18" borderId="5" xfId="0" applyFont="1" applyFill="1" applyBorder="1"/>
    <xf numFmtId="0" fontId="3" fillId="20" borderId="5" xfId="0" applyFont="1" applyFill="1" applyBorder="1"/>
    <xf numFmtId="0" fontId="5" fillId="3" borderId="9" xfId="0" applyFont="1" applyFill="1" applyBorder="1" applyAlignment="1">
      <alignment vertical="center"/>
    </xf>
    <xf numFmtId="0" fontId="3" fillId="3" borderId="9" xfId="0" applyFont="1" applyFill="1" applyBorder="1" applyAlignment="1">
      <alignment vertical="center"/>
    </xf>
    <xf numFmtId="0" fontId="3" fillId="21" borderId="5" xfId="0" applyFont="1" applyFill="1" applyBorder="1"/>
    <xf numFmtId="0" fontId="3" fillId="22" borderId="5" xfId="0" applyFont="1" applyFill="1" applyBorder="1"/>
    <xf numFmtId="0" fontId="3" fillId="23" borderId="5" xfId="0" applyFont="1" applyFill="1" applyBorder="1"/>
    <xf numFmtId="0" fontId="3" fillId="24" borderId="5" xfId="0" applyFont="1" applyFill="1" applyBorder="1"/>
    <xf numFmtId="0" fontId="5" fillId="13" borderId="9" xfId="0" applyFont="1" applyFill="1" applyBorder="1" applyAlignment="1">
      <alignment vertical="center"/>
    </xf>
    <xf numFmtId="0" fontId="3" fillId="13" borderId="9" xfId="0" applyFont="1" applyFill="1" applyBorder="1" applyAlignment="1">
      <alignment vertical="center"/>
    </xf>
    <xf numFmtId="0" fontId="5" fillId="15" borderId="9" xfId="0" applyFont="1" applyFill="1" applyBorder="1" applyAlignment="1">
      <alignment vertical="center"/>
    </xf>
    <xf numFmtId="0" fontId="3" fillId="15" borderId="9" xfId="0" applyFont="1" applyFill="1" applyBorder="1" applyAlignment="1">
      <alignment vertical="center"/>
    </xf>
    <xf numFmtId="0" fontId="5" fillId="17" borderId="9" xfId="0" applyFont="1" applyFill="1" applyBorder="1" applyAlignment="1">
      <alignment vertical="center"/>
    </xf>
    <xf numFmtId="0" fontId="3" fillId="17" borderId="9" xfId="0" applyFont="1" applyFill="1" applyBorder="1" applyAlignment="1">
      <alignment vertical="center"/>
    </xf>
    <xf numFmtId="0" fontId="5" fillId="19" borderId="9" xfId="0" applyFont="1" applyFill="1" applyBorder="1" applyAlignment="1">
      <alignment vertical="center"/>
    </xf>
    <xf numFmtId="0" fontId="3" fillId="19" borderId="9" xfId="0" applyFont="1" applyFill="1" applyBorder="1" applyAlignment="1">
      <alignment vertical="center"/>
    </xf>
    <xf numFmtId="0" fontId="4" fillId="2" borderId="31" xfId="0" applyFont="1" applyFill="1" applyBorder="1" applyAlignment="1">
      <alignment horizontal="center" vertical="center" wrapText="1"/>
    </xf>
    <xf numFmtId="0" fontId="3" fillId="8" borderId="32" xfId="0" applyFont="1" applyFill="1" applyBorder="1" applyAlignment="1">
      <alignment vertical="center" wrapText="1"/>
    </xf>
    <xf numFmtId="164" fontId="3" fillId="8" borderId="32" xfId="0" applyNumberFormat="1" applyFont="1" applyFill="1" applyBorder="1" applyAlignment="1">
      <alignment vertical="center" wrapText="1"/>
    </xf>
    <xf numFmtId="0" fontId="4" fillId="6" borderId="32" xfId="0" applyFont="1" applyFill="1" applyBorder="1" applyAlignment="1">
      <alignment horizontal="center" vertical="center" wrapText="1"/>
    </xf>
    <xf numFmtId="0" fontId="3" fillId="10" borderId="32" xfId="0" applyFont="1" applyFill="1" applyBorder="1" applyAlignment="1">
      <alignment vertical="center" wrapText="1"/>
    </xf>
    <xf numFmtId="164" fontId="3" fillId="10" borderId="32" xfId="0" applyNumberFormat="1" applyFont="1" applyFill="1" applyBorder="1" applyAlignment="1">
      <alignment vertical="center" wrapText="1"/>
    </xf>
    <xf numFmtId="0" fontId="4" fillId="9" borderId="32" xfId="0" applyFont="1" applyFill="1" applyBorder="1" applyAlignment="1">
      <alignment horizontal="center" vertical="center" wrapText="1"/>
    </xf>
    <xf numFmtId="0" fontId="3" fillId="13" borderId="32" xfId="0" applyFont="1" applyFill="1" applyBorder="1" applyAlignment="1">
      <alignment vertical="center" wrapText="1"/>
    </xf>
    <xf numFmtId="164" fontId="3" fillId="13" borderId="32" xfId="0" applyNumberFormat="1" applyFont="1" applyFill="1" applyBorder="1" applyAlignment="1">
      <alignment vertical="center" wrapText="1"/>
    </xf>
    <xf numFmtId="0" fontId="4" fillId="12" borderId="32" xfId="0" applyFont="1" applyFill="1" applyBorder="1" applyAlignment="1">
      <alignment horizontal="center" vertical="center" wrapText="1"/>
    </xf>
    <xf numFmtId="0" fontId="3" fillId="3" borderId="32" xfId="0" applyFont="1" applyFill="1" applyBorder="1" applyAlignment="1">
      <alignment vertical="center" wrapText="1"/>
    </xf>
    <xf numFmtId="164" fontId="3" fillId="3" borderId="32" xfId="0" applyNumberFormat="1" applyFont="1" applyFill="1" applyBorder="1" applyAlignment="1">
      <alignment vertical="center" wrapText="1"/>
    </xf>
    <xf numFmtId="0" fontId="4" fillId="11" borderId="32" xfId="0" applyFont="1" applyFill="1" applyBorder="1" applyAlignment="1">
      <alignment horizontal="center" vertical="center" wrapText="1"/>
    </xf>
    <xf numFmtId="0" fontId="3" fillId="15" borderId="32" xfId="0" applyFont="1" applyFill="1" applyBorder="1" applyAlignment="1">
      <alignment vertical="center" wrapText="1"/>
    </xf>
    <xf numFmtId="164" fontId="3" fillId="15" borderId="32" xfId="0" applyNumberFormat="1" applyFont="1" applyFill="1" applyBorder="1" applyAlignment="1">
      <alignment vertical="center" wrapText="1"/>
    </xf>
    <xf numFmtId="0" fontId="4" fillId="14" borderId="32" xfId="0" applyFont="1" applyFill="1" applyBorder="1" applyAlignment="1">
      <alignment horizontal="center" vertical="center" wrapText="1"/>
    </xf>
    <xf numFmtId="0" fontId="3" fillId="17" borderId="32" xfId="0" applyFont="1" applyFill="1" applyBorder="1" applyAlignment="1">
      <alignment vertical="center" wrapText="1"/>
    </xf>
    <xf numFmtId="164" fontId="3" fillId="17" borderId="32" xfId="0" applyNumberFormat="1" applyFont="1" applyFill="1" applyBorder="1" applyAlignment="1">
      <alignment vertical="center" wrapText="1"/>
    </xf>
    <xf numFmtId="0" fontId="4" fillId="16" borderId="32" xfId="0" applyFont="1" applyFill="1" applyBorder="1" applyAlignment="1">
      <alignment horizontal="center" vertical="center" wrapText="1"/>
    </xf>
    <xf numFmtId="0" fontId="4" fillId="20" borderId="32" xfId="0" applyFont="1" applyFill="1" applyBorder="1" applyAlignment="1">
      <alignment horizontal="center" vertical="center" wrapText="1"/>
    </xf>
    <xf numFmtId="0" fontId="3" fillId="19" borderId="32" xfId="0" applyFont="1" applyFill="1" applyBorder="1" applyAlignment="1">
      <alignment vertical="center" wrapText="1"/>
    </xf>
    <xf numFmtId="164" fontId="3" fillId="19" borderId="32" xfId="0" applyNumberFormat="1" applyFont="1" applyFill="1" applyBorder="1" applyAlignment="1">
      <alignment vertical="center" wrapText="1"/>
    </xf>
    <xf numFmtId="0" fontId="4" fillId="18" borderId="32" xfId="0" applyFont="1" applyFill="1" applyBorder="1" applyAlignment="1">
      <alignment horizontal="center" vertical="center" wrapText="1"/>
    </xf>
    <xf numFmtId="0" fontId="4" fillId="21" borderId="32" xfId="0" applyFont="1" applyFill="1" applyBorder="1" applyAlignment="1">
      <alignment horizontal="center" vertical="center" wrapText="1"/>
    </xf>
    <xf numFmtId="0" fontId="4" fillId="22" borderId="32" xfId="0" applyFont="1" applyFill="1" applyBorder="1" applyAlignment="1">
      <alignment horizontal="center" vertical="center" wrapText="1"/>
    </xf>
    <xf numFmtId="0" fontId="4" fillId="23" borderId="32" xfId="0" applyFont="1" applyFill="1" applyBorder="1" applyAlignment="1">
      <alignment horizontal="center" vertical="center" wrapText="1"/>
    </xf>
    <xf numFmtId="0" fontId="4" fillId="24" borderId="32" xfId="0" applyFont="1" applyFill="1" applyBorder="1" applyAlignment="1">
      <alignment horizontal="center" vertical="center" wrapText="1"/>
    </xf>
    <xf numFmtId="0" fontId="14" fillId="0" borderId="0" xfId="0" applyFont="1"/>
    <xf numFmtId="0" fontId="4" fillId="2" borderId="9" xfId="0" applyFont="1" applyFill="1" applyBorder="1" applyAlignment="1">
      <alignment horizontal="center" vertical="center"/>
    </xf>
    <xf numFmtId="0" fontId="4" fillId="2" borderId="33" xfId="0" applyFont="1" applyFill="1" applyBorder="1" applyAlignment="1">
      <alignment horizontal="center" vertical="center"/>
    </xf>
    <xf numFmtId="0" fontId="3" fillId="27" borderId="9" xfId="0" applyFont="1" applyFill="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5" fillId="10" borderId="34" xfId="0" applyFont="1" applyFill="1" applyBorder="1" applyAlignment="1">
      <alignment horizontal="center" vertical="center"/>
    </xf>
    <xf numFmtId="0" fontId="3" fillId="0" borderId="9" xfId="0" applyFont="1" applyBorder="1"/>
    <xf numFmtId="0" fontId="4" fillId="2" borderId="5" xfId="0" applyFont="1" applyFill="1" applyBorder="1"/>
    <xf numFmtId="0" fontId="3" fillId="0" borderId="0" xfId="0" applyFont="1" applyAlignment="1">
      <alignment wrapText="1"/>
    </xf>
    <xf numFmtId="0" fontId="1" fillId="2" borderId="1" xfId="0" applyFont="1" applyFill="1" applyBorder="1" applyAlignment="1">
      <alignment horizontal="center" vertical="center" wrapText="1"/>
    </xf>
    <xf numFmtId="0" fontId="2" fillId="0" borderId="2" xfId="0" applyFont="1" applyBorder="1"/>
    <xf numFmtId="0" fontId="2" fillId="0" borderId="4" xfId="0" applyFont="1" applyBorder="1"/>
    <xf numFmtId="0" fontId="6" fillId="4" borderId="6" xfId="0" applyFont="1" applyFill="1" applyBorder="1" applyAlignment="1">
      <alignment horizontal="left" vertical="center"/>
    </xf>
    <xf numFmtId="0" fontId="2" fillId="0" borderId="7" xfId="0" applyFont="1" applyBorder="1"/>
    <xf numFmtId="0" fontId="10" fillId="25" borderId="0" xfId="0" applyFont="1" applyFill="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4" borderId="11" xfId="0" applyFont="1" applyFill="1" applyBorder="1" applyAlignment="1">
      <alignment horizontal="left" vertical="center"/>
    </xf>
    <xf numFmtId="0" fontId="2" fillId="0" borderId="12" xfId="0" applyFont="1" applyBorder="1"/>
    <xf numFmtId="0" fontId="13" fillId="0" borderId="22" xfId="0" applyFont="1" applyBorder="1" applyAlignment="1">
      <alignment horizontal="center"/>
    </xf>
    <xf numFmtId="0" fontId="2" fillId="0" borderId="22" xfId="0" applyFont="1" applyBorder="1"/>
    <xf numFmtId="0" fontId="5" fillId="0" borderId="0" xfId="0" applyFont="1" applyAlignment="1">
      <alignment horizontal="center" vertical="center"/>
    </xf>
    <xf numFmtId="0" fontId="13" fillId="26"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3" xfId="0" applyFont="1" applyBorder="1"/>
    <xf numFmtId="0" fontId="2" fillId="0" borderId="24" xfId="0" applyFont="1" applyBorder="1"/>
    <xf numFmtId="0" fontId="2" fillId="0" borderId="25" xfId="0" applyFont="1" applyBorder="1"/>
    <xf numFmtId="0" fontId="5" fillId="0" borderId="0" xfId="0" applyFont="1" applyAlignment="1">
      <alignment horizontal="center" vertical="center" wrapText="1"/>
    </xf>
    <xf numFmtId="0" fontId="10" fillId="25" borderId="0" xfId="0" applyFont="1" applyFill="1" applyAlignment="1">
      <alignment horizontal="center"/>
    </xf>
    <xf numFmtId="0" fontId="1" fillId="2" borderId="29" xfId="0" applyFont="1" applyFill="1" applyBorder="1" applyAlignment="1">
      <alignment horizontal="center" vertical="center" wrapText="1"/>
    </xf>
    <xf numFmtId="0" fontId="2" fillId="0" borderId="30" xfId="0" applyFont="1" applyBorder="1"/>
    <xf numFmtId="0" fontId="4" fillId="2" borderId="29" xfId="0" applyFont="1" applyFill="1" applyBorder="1" applyAlignment="1">
      <alignment horizontal="center" vertical="center"/>
    </xf>
    <xf numFmtId="0" fontId="4" fillId="16" borderId="29" xfId="0" applyFont="1" applyFill="1" applyBorder="1" applyAlignment="1">
      <alignment horizontal="center" vertical="center"/>
    </xf>
    <xf numFmtId="0" fontId="15" fillId="2" borderId="1" xfId="0" applyFont="1" applyFill="1" applyBorder="1" applyAlignment="1">
      <alignment horizontal="center" vertical="center" wrapText="1"/>
    </xf>
  </cellXfs>
  <cellStyles count="1">
    <cellStyle name="Normal" xfId="0" builtinId="0"/>
  </cellStyles>
  <dxfs count="30">
    <dxf>
      <font>
        <color theme="0"/>
      </font>
      <fill>
        <patternFill patternType="solid">
          <fgColor theme="0"/>
          <bgColor theme="0"/>
        </patternFill>
      </fill>
    </dxf>
    <dxf>
      <font>
        <color theme="0"/>
      </font>
      <fill>
        <patternFill patternType="solid">
          <fgColor theme="0"/>
          <bgColor theme="0"/>
        </patternFill>
      </fill>
    </dxf>
    <dxf>
      <font>
        <b/>
        <color rgb="FF9C0006"/>
      </font>
      <fill>
        <patternFill patternType="solid">
          <fgColor rgb="FFF4CCCC"/>
          <bgColor rgb="FFF4CCCC"/>
        </patternFill>
      </fill>
    </dxf>
    <dxf>
      <font>
        <b/>
        <color rgb="FF006100"/>
      </font>
      <fill>
        <patternFill patternType="solid">
          <fgColor rgb="FFC6EFCE"/>
          <bgColor rgb="FFC6EFCE"/>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color theme="0"/>
      </font>
      <fill>
        <patternFill patternType="solid">
          <fgColor theme="0"/>
          <bgColor theme="0"/>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0</xdr:colOff>
      <xdr:row>4</xdr:row>
      <xdr:rowOff>190500</xdr:rowOff>
    </xdr:from>
    <xdr:ext cx="1085850" cy="22383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workbookViewId="0">
      <selection activeCell="B10" sqref="B10"/>
    </sheetView>
  </sheetViews>
  <sheetFormatPr defaultColWidth="14.42578125" defaultRowHeight="15" customHeight="1" x14ac:dyDescent="0.25"/>
  <cols>
    <col min="1" max="1" width="14.28515625" customWidth="1"/>
    <col min="2" max="2" width="201.85546875" customWidth="1"/>
    <col min="3" max="6" width="8.7109375" customWidth="1"/>
  </cols>
  <sheetData>
    <row r="1" spans="1:6" ht="27.75" customHeight="1" x14ac:dyDescent="0.25">
      <c r="A1" s="163" t="s">
        <v>0</v>
      </c>
      <c r="B1" s="164"/>
      <c r="C1" s="1"/>
      <c r="D1" s="1"/>
      <c r="E1" s="1"/>
      <c r="F1" s="1"/>
    </row>
    <row r="3" spans="1:6" x14ac:dyDescent="0.25">
      <c r="A3" s="2" t="s">
        <v>1</v>
      </c>
      <c r="B3" s="2" t="s">
        <v>2</v>
      </c>
    </row>
    <row r="4" spans="1:6" x14ac:dyDescent="0.25">
      <c r="A4" s="3" t="s">
        <v>3</v>
      </c>
      <c r="B4" s="4" t="s">
        <v>4</v>
      </c>
    </row>
    <row r="5" spans="1:6" x14ac:dyDescent="0.25">
      <c r="A5" s="3" t="s">
        <v>5</v>
      </c>
      <c r="B5" s="4" t="s">
        <v>6</v>
      </c>
    </row>
    <row r="6" spans="1:6" ht="101.25" customHeight="1" x14ac:dyDescent="0.25">
      <c r="A6" s="5" t="s">
        <v>7</v>
      </c>
      <c r="B6" s="6" t="s">
        <v>8</v>
      </c>
    </row>
    <row r="7" spans="1:6" x14ac:dyDescent="0.25">
      <c r="A7" s="3" t="s">
        <v>9</v>
      </c>
      <c r="B7" s="4" t="s">
        <v>10</v>
      </c>
    </row>
    <row r="8" spans="1:6" x14ac:dyDescent="0.25">
      <c r="A8" s="3" t="s">
        <v>11</v>
      </c>
      <c r="B8" s="4" t="s">
        <v>12</v>
      </c>
    </row>
    <row r="9" spans="1:6" x14ac:dyDescent="0.25">
      <c r="A9" s="7"/>
      <c r="B9" s="7"/>
    </row>
    <row r="10" spans="1:6" x14ac:dyDescent="0.25">
      <c r="A10" s="3" t="s">
        <v>13</v>
      </c>
      <c r="B10" s="8" t="s">
        <v>931</v>
      </c>
    </row>
    <row r="11" spans="1:6" x14ac:dyDescent="0.25">
      <c r="A11" s="7"/>
      <c r="B11" s="7"/>
    </row>
    <row r="12" spans="1:6" x14ac:dyDescent="0.25">
      <c r="A12" s="3" t="s">
        <v>14</v>
      </c>
      <c r="B12" s="4" t="s">
        <v>15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4.42578125" defaultRowHeight="15" customHeight="1" x14ac:dyDescent="0.25"/>
  <cols>
    <col min="1" max="1" width="9" customWidth="1"/>
    <col min="2" max="5" width="24" customWidth="1"/>
    <col min="6" max="6" width="18" customWidth="1"/>
    <col min="7" max="7" width="58" customWidth="1"/>
    <col min="8" max="11" width="0.140625" customWidth="1"/>
    <col min="12" max="26" width="8.7109375" customWidth="1"/>
  </cols>
  <sheetData>
    <row r="1" spans="1:11" ht="30" customHeight="1" x14ac:dyDescent="0.25">
      <c r="A1" s="163" t="s">
        <v>16</v>
      </c>
      <c r="B1" s="164"/>
      <c r="C1" s="164"/>
      <c r="D1" s="164"/>
      <c r="E1" s="164"/>
      <c r="F1" s="165"/>
      <c r="G1" s="9"/>
      <c r="H1" s="10"/>
      <c r="I1" s="10"/>
      <c r="J1" s="10"/>
    </row>
    <row r="2" spans="1:11" ht="27.75" customHeight="1" x14ac:dyDescent="0.25">
      <c r="A2" s="166" t="s">
        <v>17</v>
      </c>
      <c r="B2" s="167"/>
      <c r="C2" s="167"/>
      <c r="D2" s="167"/>
      <c r="E2" s="167"/>
      <c r="F2" s="167"/>
      <c r="G2" s="167"/>
      <c r="H2" s="11"/>
      <c r="I2" s="11"/>
    </row>
    <row r="3" spans="1:11" ht="30" customHeight="1" x14ac:dyDescent="0.25">
      <c r="A3" s="2" t="s">
        <v>18</v>
      </c>
      <c r="B3" s="2" t="s">
        <v>19</v>
      </c>
      <c r="C3" s="2" t="s">
        <v>20</v>
      </c>
      <c r="D3" s="2" t="s">
        <v>21</v>
      </c>
      <c r="E3" s="2" t="s">
        <v>22</v>
      </c>
      <c r="F3" s="2" t="s">
        <v>23</v>
      </c>
      <c r="G3" s="2" t="s">
        <v>24</v>
      </c>
      <c r="H3" s="12"/>
      <c r="I3" s="12"/>
      <c r="J3" s="12"/>
      <c r="K3" s="12"/>
    </row>
    <row r="4" spans="1:11" x14ac:dyDescent="0.25">
      <c r="A4" s="13" t="s">
        <v>25</v>
      </c>
      <c r="B4" s="14" t="s">
        <v>26</v>
      </c>
      <c r="C4" s="14" t="s">
        <v>27</v>
      </c>
      <c r="D4" s="14" t="s">
        <v>28</v>
      </c>
      <c r="E4" s="15" t="str">
        <f>IF(COUNTBLANK(B4:D4)&gt;0,"",IF(COUNTIF(B4:D4,"Mexiko")=0,"Mexiko",IF(COUNTIF(B4:D4,"Tjeckien")=0,"Tjeckien",IF(COUNTIF(B4:D4,"Sydafrika")=0,"Sydafrika",IF(COUNTIF(B4:D4,"Sydkorea")=0,"Sydkorea","")))))</f>
        <v>Sydafrika</v>
      </c>
      <c r="F4" s="16" t="str">
        <f t="array" ref="F4">IF(COUNTBLANK(B4:D4)&gt;0,"Saknas val",IF(SUMPRODUCT(COUNTIF(B4:D4,B4:D4))=3,"OK","Dublett"))</f>
        <v>OK</v>
      </c>
      <c r="G4" s="17" t="s">
        <v>29</v>
      </c>
      <c r="H4" s="18"/>
      <c r="I4" s="18"/>
      <c r="J4" s="19"/>
      <c r="K4" s="19"/>
    </row>
    <row r="5" spans="1:11" x14ac:dyDescent="0.25">
      <c r="A5" s="20" t="s">
        <v>30</v>
      </c>
      <c r="B5" s="14" t="s">
        <v>31</v>
      </c>
      <c r="C5" s="14" t="s">
        <v>32</v>
      </c>
      <c r="D5" s="14" t="s">
        <v>33</v>
      </c>
      <c r="E5" s="15" t="str">
        <f>IF(COUNTBLANK(B5:D5)&gt;0,"",IF(COUNTIF(B5:D5,"Kanada")=0,"Kanada",IF(COUNTIF(B5:D5,"Bosnien och Hercegovina")=0,"Bosnien och Hercegovina",IF(COUNTIF(B5:D5,"Qatar")=0,"Qatar",IF(COUNTIF(B5:D5,"Schweiz")=0,"Schweiz","")))))</f>
        <v>Qatar</v>
      </c>
      <c r="F5" s="16" t="str">
        <f t="array" ref="F5">IF(COUNTBLANK(B5:D5)&gt;0,"Saknas val",IF(SUMPRODUCT(COUNTIF(B5:D5,B5:D5))=3,"OK","Dublett"))</f>
        <v>OK</v>
      </c>
      <c r="G5" s="21" t="s">
        <v>34</v>
      </c>
      <c r="H5" s="18"/>
      <c r="I5" s="18"/>
      <c r="J5" s="19"/>
      <c r="K5" s="19"/>
    </row>
    <row r="6" spans="1:11" x14ac:dyDescent="0.25">
      <c r="A6" s="22" t="s">
        <v>35</v>
      </c>
      <c r="B6" s="14" t="s">
        <v>36</v>
      </c>
      <c r="C6" s="14" t="s">
        <v>37</v>
      </c>
      <c r="D6" s="14" t="s">
        <v>38</v>
      </c>
      <c r="E6" s="15" t="str">
        <f>IF(COUNTBLANK(B6:D6)&gt;0,"",IF(COUNTIF(B6:D6,"Brasilien")=0,"Brasilien",IF(COUNTIF(B6:D6,"Haiti")=0,"Haiti",IF(COUNTIF(B6:D6,"Marocko")=0,"Marocko",IF(COUNTIF(B6:D6,"Skottland")=0,"Skottland","")))))</f>
        <v>Haiti</v>
      </c>
      <c r="F6" s="16" t="str">
        <f t="array" ref="F6">IF(COUNTBLANK(B6:D6)&gt;0,"Saknas val",IF(SUMPRODUCT(COUNTIF(B6:D6,B6:D6))=3,"OK","Dublett"))</f>
        <v>OK</v>
      </c>
      <c r="G6" s="23" t="s">
        <v>39</v>
      </c>
      <c r="H6" s="19"/>
      <c r="I6" s="19"/>
      <c r="J6" s="19"/>
      <c r="K6" s="19"/>
    </row>
    <row r="7" spans="1:11" x14ac:dyDescent="0.25">
      <c r="A7" s="24" t="s">
        <v>40</v>
      </c>
      <c r="B7" s="14" t="s">
        <v>41</v>
      </c>
      <c r="C7" s="14" t="s">
        <v>42</v>
      </c>
      <c r="D7" s="14" t="s">
        <v>43</v>
      </c>
      <c r="E7" s="15" t="str">
        <f>IF(COUNTBLANK(B7:D7)&gt;0,"",IF(COUNTIF(B7:D7,"USA")=0,"USA",IF(COUNTIF(B7:D7,"Australien")=0,"Australien",IF(COUNTIF(B7:D7,"Paraguay")=0,"Paraguay",IF(COUNTIF(B7:D7,"Turkiet")=0,"Turkiet","")))))</f>
        <v>Australien</v>
      </c>
      <c r="F7" s="16" t="str">
        <f t="array" ref="F7">IF(COUNTBLANK(B7:D7)&gt;0,"Saknas val",IF(SUMPRODUCT(COUNTIF(B7:D7,B7:D7))=3,"OK","Dublett"))</f>
        <v>OK</v>
      </c>
      <c r="G7" s="25" t="s">
        <v>44</v>
      </c>
      <c r="H7" s="19"/>
      <c r="I7" s="19"/>
      <c r="J7" s="19"/>
      <c r="K7" s="19"/>
    </row>
    <row r="8" spans="1:11" x14ac:dyDescent="0.25">
      <c r="A8" s="26" t="s">
        <v>45</v>
      </c>
      <c r="B8" s="14" t="s">
        <v>46</v>
      </c>
      <c r="C8" s="14" t="s">
        <v>47</v>
      </c>
      <c r="D8" s="14" t="s">
        <v>48</v>
      </c>
      <c r="E8" s="15" t="str">
        <f>IF(COUNTBLANK(B8:D8)&gt;0,"",IF(COUNTIF(B8:D8,"Curaçao")=0,"Curaçao",IF(COUNTIF(B8:D8,"Ecuador")=0,"Ecuador",IF(COUNTIF(B8:D8,"Tyskland")=0,"Tyskland",IF(COUNTIF(B8:D8,"Elfenbenskusten")=0,"Elfenbenskusten","")))))</f>
        <v>Curaçao</v>
      </c>
      <c r="F8" s="16" t="str">
        <f t="array" ref="F8">IF(COUNTBLANK(B8:D8)&gt;0,"Saknas val",IF(SUMPRODUCT(COUNTIF(B8:D8,B8:D8))=3,"OK","Dublett"))</f>
        <v>OK</v>
      </c>
      <c r="G8" s="27" t="s">
        <v>49</v>
      </c>
      <c r="H8" s="19"/>
      <c r="I8" s="19"/>
      <c r="J8" s="19"/>
      <c r="K8" s="19"/>
    </row>
    <row r="9" spans="1:11" x14ac:dyDescent="0.25">
      <c r="A9" s="28" t="s">
        <v>50</v>
      </c>
      <c r="B9" s="14" t="s">
        <v>51</v>
      </c>
      <c r="C9" s="14" t="s">
        <v>52</v>
      </c>
      <c r="D9" s="14" t="s">
        <v>53</v>
      </c>
      <c r="E9" s="15" t="str">
        <f>IF(COUNTBLANK(B9:D9)&gt;0,"",IF(COUNTIF(B9:D9,"Nederländerna")=0,"Nederländerna",IF(COUNTIF(B9:D9,"Japan")=0,"Japan",IF(COUNTIF(B9:D9,"Sverige")=0,"Sverige",IF(COUNTIF(B9:D9,"Tunisien")=0,"Tunisien","")))))</f>
        <v>Tunisien</v>
      </c>
      <c r="F9" s="16" t="str">
        <f t="array" ref="F9">IF(COUNTBLANK(B9:D9)&gt;0,"Saknas val",IF(SUMPRODUCT(COUNTIF(B9:D9,B9:D9))=3,"OK","Dublett"))</f>
        <v>OK</v>
      </c>
      <c r="G9" s="29" t="s">
        <v>54</v>
      </c>
      <c r="H9" s="19"/>
      <c r="I9" s="19"/>
      <c r="J9" s="19"/>
      <c r="K9" s="19"/>
    </row>
    <row r="10" spans="1:11" x14ac:dyDescent="0.25">
      <c r="A10" s="30" t="s">
        <v>55</v>
      </c>
      <c r="B10" s="14" t="s">
        <v>56</v>
      </c>
      <c r="C10" s="14" t="s">
        <v>57</v>
      </c>
      <c r="D10" s="14" t="s">
        <v>58</v>
      </c>
      <c r="E10" s="15" t="str">
        <f>IF(COUNTBLANK(B10:D10)&gt;0,"",IF(COUNTIF(B10:D10,"Belgien")=0,"Belgien",IF(COUNTIF(B10:D10,"Egypten")=0,"Egypten",IF(COUNTIF(B10:D10,"Iran")=0,"Iran",IF(COUNTIF(B10:D10,"Nya Zeeland")=0,"Nya Zeeland","")))))</f>
        <v>Nya Zeeland</v>
      </c>
      <c r="F10" s="16" t="str">
        <f t="array" ref="F10">IF(COUNTBLANK(B10:D10)&gt;0,"Saknas val",IF(SUMPRODUCT(COUNTIF(B10:D10,B10:D10))=3,"OK","Dublett"))</f>
        <v>OK</v>
      </c>
      <c r="G10" s="31" t="s">
        <v>59</v>
      </c>
      <c r="H10" s="19"/>
      <c r="I10" s="19"/>
      <c r="J10" s="19"/>
      <c r="K10" s="19"/>
    </row>
    <row r="11" spans="1:11" x14ac:dyDescent="0.25">
      <c r="A11" s="32" t="s">
        <v>60</v>
      </c>
      <c r="B11" s="14" t="s">
        <v>61</v>
      </c>
      <c r="C11" s="14" t="s">
        <v>62</v>
      </c>
      <c r="D11" s="14" t="s">
        <v>63</v>
      </c>
      <c r="E11" s="15" t="str">
        <f>IF(COUNTBLANK(B11:D11)&gt;0,"",IF(COUNTIF(B11:D11,"Kap Verde")=0,"Kap Verde",IF(COUNTIF(B11:D11,"Saudiarabien")=0,"Saudiarabien",IF(COUNTIF(B11:D11,"Spanien")=0,"Spanien",IF(COUNTIF(B11:D11,"Uruguay")=0,"Uruguay","")))))</f>
        <v>Kap Verde</v>
      </c>
      <c r="F11" s="16" t="str">
        <f t="array" ref="F11">IF(COUNTBLANK(B11:D11)&gt;0,"Saknas val",IF(SUMPRODUCT(COUNTIF(B11:D11,B11:D11))=3,"OK","Dublett"))</f>
        <v>OK</v>
      </c>
      <c r="G11" s="17" t="s">
        <v>64</v>
      </c>
      <c r="H11" s="19"/>
      <c r="I11" s="19"/>
      <c r="J11" s="19"/>
      <c r="K11" s="19"/>
    </row>
    <row r="12" spans="1:11" x14ac:dyDescent="0.25">
      <c r="A12" s="33" t="s">
        <v>65</v>
      </c>
      <c r="B12" s="14" t="s">
        <v>66</v>
      </c>
      <c r="C12" s="14" t="s">
        <v>67</v>
      </c>
      <c r="D12" s="14" t="s">
        <v>68</v>
      </c>
      <c r="E12" s="15" t="str">
        <f>IF(COUNTBLANK(B12:D12)&gt;0,"",IF(COUNTIF(B12:D12,"Frankrike")=0,"Frankrike",IF(COUNTIF(B12:D12,"Norge")=0,"Norge",IF(COUNTIF(B12:D12,"Senegal")=0,"Senegal",IF(COUNTIF(B12:D12,"Irak")=0,"Irak","")))))</f>
        <v>Irak</v>
      </c>
      <c r="F12" s="16" t="str">
        <f t="array" ref="F12">IF(COUNTBLANK(B12:D12)&gt;0,"Saknas val",IF(SUMPRODUCT(COUNTIF(B12:D12,B12:D12))=3,"OK","Dublett"))</f>
        <v>OK</v>
      </c>
      <c r="G12" s="21" t="s">
        <v>69</v>
      </c>
      <c r="H12" s="19"/>
      <c r="I12" s="19"/>
      <c r="J12" s="19"/>
      <c r="K12" s="19"/>
    </row>
    <row r="13" spans="1:11" x14ac:dyDescent="0.25">
      <c r="A13" s="34" t="s">
        <v>70</v>
      </c>
      <c r="B13" s="14" t="s">
        <v>71</v>
      </c>
      <c r="C13" s="14" t="s">
        <v>72</v>
      </c>
      <c r="D13" s="14" t="s">
        <v>73</v>
      </c>
      <c r="E13" s="15" t="str">
        <f>IF(COUNTBLANK(B13:D13)&gt;0,"",IF(COUNTIF(B13:D13,"Algeriet")=0,"Algeriet",IF(COUNTIF(B13:D13,"Argentina")=0,"Argentina",IF(COUNTIF(B13:D13,"Österrike")=0,"Österrike",IF(COUNTIF(B13:D13,"Jordanien")=0,"Jordanien","")))))</f>
        <v>Jordanien</v>
      </c>
      <c r="F13" s="16" t="str">
        <f t="array" ref="F13">IF(COUNTBLANK(B13:D13)&gt;0,"Saknas val",IF(SUMPRODUCT(COUNTIF(B13:D13,B13:D13))=3,"OK","Dublett"))</f>
        <v>OK</v>
      </c>
      <c r="G13" s="23" t="s">
        <v>74</v>
      </c>
      <c r="H13" s="19"/>
      <c r="I13" s="19"/>
      <c r="J13" s="19"/>
      <c r="K13" s="19"/>
    </row>
    <row r="14" spans="1:11" x14ac:dyDescent="0.25">
      <c r="A14" s="35" t="s">
        <v>75</v>
      </c>
      <c r="B14" s="14" t="s">
        <v>76</v>
      </c>
      <c r="C14" s="14" t="s">
        <v>77</v>
      </c>
      <c r="D14" s="14" t="s">
        <v>78</v>
      </c>
      <c r="E14" s="15" t="str">
        <f>IF(COUNTBLANK(B14:D14)&gt;0,"",IF(COUNTIF(B14:D14,"Colombia")=0,"Colombia",IF(COUNTIF(B14:D14,"DR Kongo")=0,"DR Kongo",IF(COUNTIF(B14:D14,"Portugal")=0,"Portugal",IF(COUNTIF(B14:D14,"Uzbekistan")=0,"Uzbekistan","")))))</f>
        <v>Uzbekistan</v>
      </c>
      <c r="F14" s="16" t="str">
        <f t="array" ref="F14">IF(COUNTBLANK(B14:D14)&gt;0,"Saknas val",IF(SUMPRODUCT(COUNTIF(B14:D14,B14:D14))=3,"OK","Dublett"))</f>
        <v>OK</v>
      </c>
      <c r="G14" s="25" t="s">
        <v>79</v>
      </c>
      <c r="H14" s="19"/>
      <c r="I14" s="19"/>
      <c r="J14" s="19"/>
      <c r="K14" s="19"/>
    </row>
    <row r="15" spans="1:11" x14ac:dyDescent="0.25">
      <c r="A15" s="36" t="s">
        <v>80</v>
      </c>
      <c r="B15" s="14" t="s">
        <v>81</v>
      </c>
      <c r="C15" s="14" t="s">
        <v>82</v>
      </c>
      <c r="D15" s="14" t="s">
        <v>83</v>
      </c>
      <c r="E15" s="15" t="str">
        <f>IF(COUNTBLANK(B15:D15)&gt;0,"",IF(COUNTIF(B15:D15,"Kroatien")=0,"Kroatien",IF(COUNTIF(B15:D15,"England")=0,"England",IF(COUNTIF(B15:D15,"Ghana")=0,"Ghana",IF(COUNTIF(B15:D15,"Panama")=0,"Panama","")))))</f>
        <v>Ghana</v>
      </c>
      <c r="F15" s="16" t="str">
        <f t="array" ref="F15">IF(COUNTBLANK(B15:D15)&gt;0,"Saknas val",IF(SUMPRODUCT(COUNTIF(B15:D15,B15:D15))=3,"OK","Dublett"))</f>
        <v>OK</v>
      </c>
      <c r="G15" s="27" t="s">
        <v>84</v>
      </c>
      <c r="H15" s="19"/>
      <c r="I15" s="19"/>
      <c r="J15" s="19"/>
      <c r="K15" s="19"/>
    </row>
    <row r="16" spans="1:11" x14ac:dyDescent="0.25">
      <c r="A16" s="37"/>
      <c r="B16" s="38"/>
      <c r="C16" s="37"/>
      <c r="D16" s="39"/>
      <c r="E16" s="39"/>
      <c r="F16" s="37"/>
      <c r="G16" s="40"/>
    </row>
    <row r="17" spans="1:7" x14ac:dyDescent="0.25">
      <c r="A17" s="41"/>
      <c r="B17" s="42"/>
      <c r="C17" s="41"/>
      <c r="D17" s="43"/>
      <c r="E17" s="43"/>
      <c r="F17" s="41"/>
      <c r="G17" s="40"/>
    </row>
    <row r="18" spans="1:7" x14ac:dyDescent="0.25">
      <c r="A18" s="41"/>
      <c r="B18" s="42"/>
      <c r="C18" s="41"/>
      <c r="D18" s="43"/>
      <c r="E18" s="43"/>
      <c r="F18" s="41"/>
      <c r="G18" s="40"/>
    </row>
    <row r="19" spans="1:7" x14ac:dyDescent="0.25">
      <c r="A19" s="41"/>
      <c r="B19" s="42"/>
      <c r="C19" s="41"/>
      <c r="D19" s="43"/>
      <c r="E19" s="43"/>
      <c r="F19" s="41"/>
      <c r="G19" s="40"/>
    </row>
    <row r="20" spans="1:7" x14ac:dyDescent="0.25">
      <c r="A20" s="41"/>
      <c r="B20" s="42"/>
      <c r="C20" s="41"/>
      <c r="D20" s="43"/>
      <c r="E20" s="43"/>
      <c r="F20" s="41"/>
      <c r="G20" s="40"/>
    </row>
    <row r="21" spans="1:7" ht="15.75" customHeight="1" x14ac:dyDescent="0.25">
      <c r="A21" s="41"/>
      <c r="B21" s="42"/>
      <c r="C21" s="41"/>
      <c r="D21" s="43"/>
      <c r="E21" s="43"/>
      <c r="F21" s="41"/>
      <c r="G21" s="40"/>
    </row>
    <row r="22" spans="1:7" ht="15.75" customHeight="1" x14ac:dyDescent="0.25">
      <c r="A22" s="41"/>
      <c r="B22" s="42"/>
      <c r="C22" s="41"/>
      <c r="D22" s="43"/>
      <c r="E22" s="43"/>
      <c r="F22" s="41"/>
      <c r="G22" s="40"/>
    </row>
    <row r="23" spans="1:7" ht="15.75" customHeight="1" x14ac:dyDescent="0.25">
      <c r="A23" s="41"/>
      <c r="B23" s="42"/>
      <c r="C23" s="41"/>
      <c r="D23" s="43"/>
      <c r="E23" s="43"/>
      <c r="F23" s="41"/>
      <c r="G23" s="40"/>
    </row>
    <row r="24" spans="1:7" ht="15.75" customHeight="1" x14ac:dyDescent="0.25">
      <c r="A24" s="41"/>
      <c r="B24" s="42"/>
      <c r="C24" s="41"/>
      <c r="D24" s="43"/>
      <c r="E24" s="43"/>
      <c r="F24" s="41"/>
      <c r="G24" s="40"/>
    </row>
    <row r="25" spans="1:7" ht="15.75" customHeight="1" x14ac:dyDescent="0.25">
      <c r="A25" s="41"/>
      <c r="B25" s="42"/>
      <c r="C25" s="41"/>
      <c r="D25" s="43"/>
      <c r="E25" s="43"/>
      <c r="F25" s="41"/>
      <c r="G25" s="40"/>
    </row>
    <row r="26" spans="1:7" ht="15.75" customHeight="1" x14ac:dyDescent="0.25">
      <c r="A26" s="41"/>
      <c r="B26" s="42"/>
      <c r="C26" s="41"/>
      <c r="D26" s="43"/>
      <c r="E26" s="43"/>
      <c r="F26" s="41"/>
      <c r="G26" s="40"/>
    </row>
    <row r="27" spans="1:7" ht="15.75" customHeight="1" x14ac:dyDescent="0.25">
      <c r="A27" s="41"/>
      <c r="B27" s="42"/>
      <c r="C27" s="41"/>
      <c r="D27" s="43"/>
      <c r="E27" s="43"/>
      <c r="F27" s="41"/>
      <c r="G27" s="40"/>
    </row>
    <row r="28" spans="1:7" ht="15.75" customHeight="1" x14ac:dyDescent="0.25">
      <c r="A28" s="41"/>
      <c r="B28" s="42"/>
      <c r="C28" s="41"/>
      <c r="D28" s="43"/>
      <c r="E28" s="43"/>
      <c r="F28" s="41"/>
      <c r="G28" s="40"/>
    </row>
    <row r="29" spans="1:7" ht="15.75" customHeight="1" x14ac:dyDescent="0.25">
      <c r="A29" s="41"/>
      <c r="B29" s="42"/>
      <c r="C29" s="41"/>
      <c r="D29" s="43"/>
      <c r="E29" s="43"/>
      <c r="F29" s="41"/>
      <c r="G29" s="40"/>
    </row>
    <row r="30" spans="1:7" ht="15.75" customHeight="1" x14ac:dyDescent="0.25">
      <c r="A30" s="41"/>
      <c r="B30" s="42"/>
      <c r="C30" s="41"/>
      <c r="D30" s="43"/>
      <c r="E30" s="43"/>
      <c r="F30" s="41"/>
      <c r="G30" s="40"/>
    </row>
    <row r="31" spans="1:7" ht="15.75" customHeight="1" x14ac:dyDescent="0.25">
      <c r="A31" s="41"/>
      <c r="B31" s="42"/>
      <c r="C31" s="41"/>
      <c r="D31" s="43"/>
      <c r="E31" s="43"/>
      <c r="F31" s="41"/>
      <c r="G31" s="40"/>
    </row>
    <row r="32" spans="1:7" ht="15.75" customHeight="1" x14ac:dyDescent="0.25">
      <c r="A32" s="41"/>
      <c r="B32" s="42"/>
      <c r="C32" s="41"/>
      <c r="D32" s="43"/>
      <c r="E32" s="43"/>
      <c r="F32" s="41"/>
      <c r="G32" s="40"/>
    </row>
    <row r="33" spans="1:7" ht="15.75" customHeight="1" x14ac:dyDescent="0.25">
      <c r="A33" s="41"/>
      <c r="B33" s="42"/>
      <c r="C33" s="41"/>
      <c r="D33" s="43"/>
      <c r="E33" s="43"/>
      <c r="F33" s="41"/>
      <c r="G33" s="40"/>
    </row>
    <row r="34" spans="1:7" ht="15.75" customHeight="1" x14ac:dyDescent="0.25">
      <c r="A34" s="41"/>
      <c r="B34" s="42"/>
      <c r="C34" s="41"/>
      <c r="D34" s="43"/>
      <c r="E34" s="43"/>
      <c r="F34" s="41"/>
      <c r="G34" s="40"/>
    </row>
    <row r="35" spans="1:7" ht="15.75" customHeight="1" x14ac:dyDescent="0.25">
      <c r="A35" s="41"/>
      <c r="B35" s="42"/>
      <c r="C35" s="41"/>
      <c r="D35" s="43"/>
      <c r="E35" s="43"/>
      <c r="F35" s="41"/>
      <c r="G35" s="40"/>
    </row>
    <row r="36" spans="1:7" ht="15.75" customHeight="1" x14ac:dyDescent="0.25">
      <c r="A36" s="41"/>
      <c r="B36" s="42"/>
      <c r="C36" s="41"/>
      <c r="D36" s="43"/>
      <c r="E36" s="43"/>
      <c r="F36" s="41"/>
      <c r="G36" s="40"/>
    </row>
    <row r="37" spans="1:7" ht="15.75" customHeight="1" x14ac:dyDescent="0.25">
      <c r="A37" s="41"/>
      <c r="B37" s="42"/>
      <c r="C37" s="41"/>
      <c r="D37" s="43"/>
      <c r="E37" s="43"/>
      <c r="F37" s="41"/>
      <c r="G37" s="40"/>
    </row>
    <row r="38" spans="1:7" ht="15.75" customHeight="1" x14ac:dyDescent="0.25">
      <c r="A38" s="41"/>
      <c r="B38" s="42"/>
      <c r="C38" s="41"/>
      <c r="D38" s="43"/>
      <c r="E38" s="43"/>
      <c r="F38" s="41"/>
      <c r="G38" s="40"/>
    </row>
    <row r="39" spans="1:7" ht="15.75" customHeight="1" x14ac:dyDescent="0.25">
      <c r="A39" s="41"/>
      <c r="B39" s="42"/>
      <c r="C39" s="41"/>
      <c r="D39" s="43"/>
      <c r="E39" s="43"/>
      <c r="F39" s="41"/>
      <c r="G39" s="40"/>
    </row>
    <row r="40" spans="1:7" ht="15.75" customHeight="1" x14ac:dyDescent="0.25">
      <c r="A40" s="41"/>
      <c r="B40" s="42"/>
      <c r="C40" s="41"/>
      <c r="D40" s="43"/>
      <c r="E40" s="43"/>
      <c r="F40" s="41"/>
      <c r="G40" s="40"/>
    </row>
    <row r="41" spans="1:7" ht="15.75" customHeight="1" x14ac:dyDescent="0.25">
      <c r="A41" s="41"/>
      <c r="B41" s="42"/>
      <c r="C41" s="41"/>
      <c r="D41" s="43"/>
      <c r="E41" s="43"/>
      <c r="F41" s="41"/>
      <c r="G41" s="40"/>
    </row>
    <row r="42" spans="1:7" ht="15.75" customHeight="1" x14ac:dyDescent="0.25">
      <c r="A42" s="41"/>
      <c r="B42" s="42"/>
      <c r="C42" s="41"/>
      <c r="D42" s="43"/>
      <c r="E42" s="43"/>
      <c r="F42" s="41"/>
      <c r="G42" s="40"/>
    </row>
    <row r="43" spans="1:7" ht="15.75" customHeight="1" x14ac:dyDescent="0.25">
      <c r="A43" s="41"/>
      <c r="B43" s="42"/>
      <c r="C43" s="41"/>
      <c r="D43" s="43"/>
      <c r="E43" s="43"/>
      <c r="F43" s="41"/>
      <c r="G43" s="40"/>
    </row>
    <row r="44" spans="1:7" ht="15.75" customHeight="1" x14ac:dyDescent="0.25">
      <c r="A44" s="41"/>
      <c r="B44" s="42"/>
      <c r="C44" s="41"/>
      <c r="D44" s="43"/>
      <c r="E44" s="43"/>
      <c r="F44" s="41"/>
      <c r="G44" s="40"/>
    </row>
    <row r="45" spans="1:7" ht="15.75" customHeight="1" x14ac:dyDescent="0.25">
      <c r="A45" s="41"/>
      <c r="B45" s="42"/>
      <c r="C45" s="41"/>
      <c r="D45" s="43"/>
      <c r="E45" s="43"/>
      <c r="F45" s="41"/>
      <c r="G45" s="40"/>
    </row>
    <row r="46" spans="1:7" ht="15.75" customHeight="1" x14ac:dyDescent="0.25">
      <c r="A46" s="41"/>
      <c r="B46" s="42"/>
      <c r="C46" s="41"/>
      <c r="D46" s="43"/>
      <c r="E46" s="43"/>
      <c r="F46" s="41"/>
      <c r="G46" s="40"/>
    </row>
    <row r="47" spans="1:7" ht="15.75" customHeight="1" x14ac:dyDescent="0.25">
      <c r="A47" s="41"/>
      <c r="B47" s="42"/>
      <c r="C47" s="41"/>
      <c r="D47" s="43"/>
      <c r="E47" s="43"/>
      <c r="F47" s="41"/>
      <c r="G47" s="40"/>
    </row>
    <row r="48" spans="1:7" ht="15.75" customHeight="1" x14ac:dyDescent="0.25">
      <c r="A48" s="41"/>
      <c r="B48" s="42"/>
      <c r="C48" s="41"/>
      <c r="D48" s="43"/>
      <c r="E48" s="43"/>
      <c r="F48" s="41"/>
      <c r="G48" s="40"/>
    </row>
    <row r="49" spans="1:26" ht="15.75" customHeight="1" x14ac:dyDescent="0.25">
      <c r="A49" s="41"/>
      <c r="B49" s="42"/>
      <c r="C49" s="41"/>
      <c r="D49" s="43"/>
      <c r="E49" s="43"/>
      <c r="F49" s="41"/>
      <c r="G49" s="40"/>
    </row>
    <row r="50" spans="1:26" ht="15.75" customHeight="1" x14ac:dyDescent="0.25">
      <c r="A50" s="41"/>
      <c r="B50" s="42"/>
      <c r="C50" s="41"/>
      <c r="D50" s="43"/>
      <c r="E50" s="43"/>
      <c r="F50" s="41"/>
      <c r="G50" s="40"/>
    </row>
    <row r="51" spans="1:26" ht="15.75" customHeight="1" x14ac:dyDescent="0.25">
      <c r="A51" s="41"/>
      <c r="B51" s="42"/>
      <c r="C51" s="41"/>
      <c r="D51" s="43"/>
      <c r="E51" s="43"/>
      <c r="F51" s="41"/>
      <c r="G51" s="40"/>
    </row>
    <row r="52" spans="1:26" ht="15.75" customHeight="1" x14ac:dyDescent="0.25">
      <c r="A52" s="40"/>
      <c r="B52" s="40"/>
      <c r="C52" s="40"/>
      <c r="D52" s="40"/>
      <c r="E52" s="40"/>
      <c r="F52" s="40"/>
      <c r="G52" s="40"/>
    </row>
    <row r="53" spans="1:26" ht="15.75" customHeight="1" x14ac:dyDescent="0.25">
      <c r="A53" s="40"/>
      <c r="B53" s="40"/>
      <c r="C53" s="40"/>
      <c r="D53" s="40"/>
      <c r="E53" s="40"/>
      <c r="F53" s="40"/>
      <c r="G53" s="40"/>
    </row>
    <row r="54" spans="1:26" ht="15.75" customHeight="1" x14ac:dyDescent="0.25">
      <c r="A54" s="40"/>
      <c r="B54" s="40"/>
      <c r="C54" s="40"/>
      <c r="D54" s="40"/>
      <c r="E54" s="40"/>
      <c r="F54" s="40"/>
      <c r="G54" s="40"/>
      <c r="H54" s="1"/>
      <c r="I54" s="1"/>
      <c r="J54" s="1"/>
      <c r="K54" s="1"/>
      <c r="L54" s="1"/>
      <c r="M54" s="1"/>
      <c r="N54" s="1"/>
      <c r="O54" s="1"/>
      <c r="P54" s="1"/>
      <c r="Q54" s="1"/>
      <c r="R54" s="1"/>
      <c r="S54" s="1"/>
      <c r="T54" s="1"/>
      <c r="U54" s="1"/>
      <c r="V54" s="1"/>
      <c r="W54" s="1"/>
      <c r="X54" s="1"/>
      <c r="Y54" s="1"/>
      <c r="Z54" s="1"/>
    </row>
    <row r="55" spans="1:26" ht="15.75" customHeight="1" x14ac:dyDescent="0.25">
      <c r="A55" s="40"/>
      <c r="B55" s="40"/>
      <c r="C55" s="40"/>
      <c r="D55" s="40"/>
      <c r="E55" s="40"/>
      <c r="F55" s="40"/>
      <c r="G55" s="40"/>
      <c r="H55" s="1"/>
      <c r="I55" s="1"/>
      <c r="J55" s="1"/>
      <c r="K55" s="1"/>
      <c r="L55" s="1"/>
      <c r="M55" s="1"/>
      <c r="N55" s="1"/>
      <c r="O55" s="1"/>
      <c r="P55" s="1"/>
      <c r="Q55" s="1"/>
      <c r="R55" s="1"/>
      <c r="S55" s="1"/>
      <c r="T55" s="1"/>
      <c r="U55" s="1"/>
      <c r="V55" s="1"/>
      <c r="W55" s="1"/>
      <c r="X55" s="1"/>
      <c r="Y55" s="1"/>
      <c r="Z55" s="1"/>
    </row>
    <row r="56" spans="1:26" ht="15.75" customHeight="1" x14ac:dyDescent="0.25">
      <c r="A56" s="40"/>
      <c r="B56" s="40"/>
      <c r="C56" s="40"/>
      <c r="D56" s="40"/>
      <c r="E56" s="40"/>
      <c r="F56" s="40"/>
      <c r="G56" s="40"/>
      <c r="H56" s="1"/>
      <c r="I56" s="1"/>
      <c r="J56" s="1"/>
      <c r="K56" s="1"/>
      <c r="L56" s="1"/>
      <c r="M56" s="1"/>
      <c r="N56" s="1"/>
      <c r="O56" s="1"/>
      <c r="P56" s="1"/>
      <c r="Q56" s="1"/>
      <c r="R56" s="1"/>
      <c r="S56" s="1"/>
      <c r="T56" s="1"/>
      <c r="U56" s="1"/>
      <c r="V56" s="1"/>
      <c r="W56" s="1"/>
      <c r="X56" s="1"/>
      <c r="Y56" s="1"/>
      <c r="Z56" s="1"/>
    </row>
    <row r="57" spans="1:26" ht="15.75" customHeight="1" x14ac:dyDescent="0.25">
      <c r="A57" s="40"/>
      <c r="B57" s="40"/>
      <c r="C57" s="40"/>
      <c r="D57" s="40"/>
      <c r="E57" s="40"/>
      <c r="F57" s="40"/>
      <c r="G57" s="40"/>
      <c r="H57" s="1"/>
      <c r="I57" s="1"/>
      <c r="J57" s="1"/>
      <c r="K57" s="1"/>
      <c r="L57" s="1"/>
      <c r="M57" s="1"/>
      <c r="N57" s="1"/>
      <c r="O57" s="1"/>
      <c r="P57" s="1"/>
      <c r="Q57" s="1"/>
      <c r="R57" s="1"/>
      <c r="S57" s="1"/>
      <c r="T57" s="1"/>
      <c r="U57" s="1"/>
      <c r="V57" s="1"/>
      <c r="W57" s="1"/>
      <c r="X57" s="1"/>
      <c r="Y57" s="1"/>
      <c r="Z57" s="1"/>
    </row>
    <row r="58" spans="1:26" ht="9" customHeight="1" x14ac:dyDescent="0.25">
      <c r="A58" s="40"/>
      <c r="B58" s="44"/>
      <c r="C58" s="44"/>
      <c r="D58" s="44"/>
      <c r="E58" s="44"/>
      <c r="F58" s="40">
        <f>COUNTIF(F4:F15,"OK")</f>
        <v>12</v>
      </c>
      <c r="G58" s="40"/>
      <c r="H58" s="1"/>
      <c r="I58" s="1"/>
      <c r="J58" s="1"/>
      <c r="K58" s="1"/>
      <c r="L58" s="1"/>
      <c r="M58" s="1"/>
      <c r="N58" s="1"/>
      <c r="O58" s="1"/>
      <c r="P58" s="1"/>
      <c r="Q58" s="1"/>
      <c r="R58" s="1"/>
      <c r="S58" s="1"/>
      <c r="T58" s="1"/>
      <c r="U58" s="1"/>
      <c r="V58" s="1"/>
      <c r="W58" s="1"/>
      <c r="X58" s="1"/>
      <c r="Y58" s="1"/>
      <c r="Z58" s="1"/>
    </row>
    <row r="59" spans="1:26" ht="24" customHeight="1" x14ac:dyDescent="0.25">
      <c r="B59" s="168" t="s">
        <v>85</v>
      </c>
      <c r="C59" s="169"/>
      <c r="D59" s="169"/>
      <c r="E59" s="169"/>
    </row>
    <row r="60" spans="1:26" ht="14.25" hidden="1" customHeight="1" x14ac:dyDescent="0.25">
      <c r="A60" s="170" t="s">
        <v>86</v>
      </c>
      <c r="B60" s="164"/>
      <c r="C60" s="164"/>
      <c r="D60" s="165"/>
      <c r="E60" s="1"/>
      <c r="F60" s="1"/>
      <c r="G60" s="1"/>
      <c r="H60" s="1"/>
      <c r="I60" s="1"/>
      <c r="J60" s="1"/>
      <c r="K60" s="1"/>
      <c r="L60" s="1"/>
      <c r="M60" s="1"/>
      <c r="N60" s="1"/>
      <c r="O60" s="1"/>
      <c r="P60" s="1"/>
      <c r="Q60" s="1"/>
      <c r="R60" s="1"/>
      <c r="S60" s="1"/>
      <c r="T60" s="1"/>
      <c r="U60" s="1"/>
      <c r="V60" s="1"/>
      <c r="W60" s="1"/>
      <c r="X60" s="1"/>
      <c r="Y60" s="1"/>
      <c r="Z60" s="1"/>
    </row>
    <row r="61" spans="1:26" ht="14.25" hidden="1" customHeight="1" x14ac:dyDescent="0.25">
      <c r="A61" s="45" t="s">
        <v>18</v>
      </c>
      <c r="B61" s="45" t="s">
        <v>87</v>
      </c>
      <c r="C61" s="45" t="s">
        <v>88</v>
      </c>
      <c r="D61" s="45" t="s">
        <v>89</v>
      </c>
      <c r="E61" s="1"/>
      <c r="F61" s="1"/>
      <c r="G61" s="1"/>
      <c r="H61" s="1"/>
      <c r="I61" s="1"/>
      <c r="J61" s="1"/>
      <c r="K61" s="1"/>
      <c r="L61" s="1"/>
      <c r="M61" s="1"/>
      <c r="N61" s="1"/>
      <c r="O61" s="1"/>
      <c r="P61" s="1"/>
      <c r="Q61" s="1"/>
      <c r="R61" s="1"/>
      <c r="S61" s="1"/>
      <c r="T61" s="1"/>
      <c r="U61" s="1"/>
      <c r="V61" s="1"/>
      <c r="W61" s="1"/>
      <c r="X61" s="1"/>
      <c r="Y61" s="1"/>
      <c r="Z61" s="1"/>
    </row>
    <row r="62" spans="1:26" ht="14.25" hidden="1" customHeight="1" x14ac:dyDescent="0.25">
      <c r="A62" s="46" t="s">
        <v>25</v>
      </c>
      <c r="B62" s="47" t="str">
        <f t="shared" ref="B62:D62" si="0">IF(B4="","",B4)</f>
        <v>Sydkorea</v>
      </c>
      <c r="C62" s="47" t="str">
        <f t="shared" si="0"/>
        <v>Mexiko</v>
      </c>
      <c r="D62" s="47" t="str">
        <f t="shared" si="0"/>
        <v>Tjeckien</v>
      </c>
      <c r="E62" s="1"/>
      <c r="F62" s="1"/>
      <c r="G62" s="48"/>
      <c r="H62" s="1"/>
      <c r="I62" s="1"/>
      <c r="J62" s="1"/>
      <c r="K62" s="1"/>
      <c r="L62" s="1"/>
      <c r="M62" s="1"/>
      <c r="N62" s="1"/>
      <c r="O62" s="1"/>
      <c r="P62" s="1"/>
      <c r="Q62" s="1"/>
      <c r="R62" s="1"/>
      <c r="S62" s="1"/>
      <c r="T62" s="1"/>
      <c r="U62" s="1"/>
      <c r="V62" s="1"/>
      <c r="W62" s="1"/>
      <c r="X62" s="1"/>
      <c r="Y62" s="1"/>
      <c r="Z62" s="1"/>
    </row>
    <row r="63" spans="1:26" ht="14.25" hidden="1" customHeight="1" x14ac:dyDescent="0.25">
      <c r="A63" s="49" t="s">
        <v>30</v>
      </c>
      <c r="B63" s="50" t="str">
        <f t="shared" ref="B63:D63" si="1">IF(B5="","",B5)</f>
        <v>Schweiz</v>
      </c>
      <c r="C63" s="50" t="str">
        <f t="shared" si="1"/>
        <v>Bosnien och Hercegovina</v>
      </c>
      <c r="D63" s="50" t="str">
        <f t="shared" si="1"/>
        <v>Kanada</v>
      </c>
      <c r="E63" s="1"/>
      <c r="F63" s="1"/>
      <c r="G63" s="1"/>
      <c r="H63" s="1"/>
      <c r="I63" s="1"/>
      <c r="J63" s="1"/>
      <c r="K63" s="1"/>
      <c r="L63" s="1"/>
      <c r="M63" s="1"/>
      <c r="N63" s="1"/>
      <c r="O63" s="1"/>
      <c r="P63" s="1"/>
      <c r="Q63" s="1"/>
      <c r="R63" s="1"/>
      <c r="S63" s="1"/>
      <c r="T63" s="1"/>
      <c r="U63" s="1"/>
      <c r="V63" s="1"/>
      <c r="W63" s="1"/>
      <c r="X63" s="1"/>
      <c r="Y63" s="1"/>
      <c r="Z63" s="1"/>
    </row>
    <row r="64" spans="1:26" ht="14.25" hidden="1" customHeight="1" x14ac:dyDescent="0.25">
      <c r="A64" s="51" t="s">
        <v>35</v>
      </c>
      <c r="B64" s="52" t="str">
        <f t="shared" ref="B64:D64" si="2">IF(B6="","",B6)</f>
        <v>Brasilien</v>
      </c>
      <c r="C64" s="52" t="str">
        <f t="shared" si="2"/>
        <v>Marocko</v>
      </c>
      <c r="D64" s="52" t="str">
        <f t="shared" si="2"/>
        <v>Skottland</v>
      </c>
      <c r="E64" s="1"/>
      <c r="F64" s="1"/>
      <c r="G64" s="1"/>
      <c r="H64" s="1"/>
      <c r="I64" s="1"/>
      <c r="J64" s="1"/>
      <c r="K64" s="1"/>
      <c r="L64" s="1"/>
      <c r="M64" s="1"/>
      <c r="N64" s="1"/>
      <c r="O64" s="1"/>
      <c r="P64" s="1"/>
      <c r="Q64" s="1"/>
      <c r="R64" s="1"/>
      <c r="S64" s="1"/>
      <c r="T64" s="1"/>
      <c r="U64" s="1"/>
      <c r="V64" s="1"/>
      <c r="W64" s="1"/>
      <c r="X64" s="1"/>
      <c r="Y64" s="1"/>
      <c r="Z64" s="1"/>
    </row>
    <row r="65" spans="1:26" ht="14.25" hidden="1" customHeight="1" x14ac:dyDescent="0.25">
      <c r="A65" s="53" t="s">
        <v>40</v>
      </c>
      <c r="B65" s="54" t="str">
        <f t="shared" ref="B65:D65" si="3">IF(B7="","",B7)</f>
        <v>Turkiet</v>
      </c>
      <c r="C65" s="54" t="str">
        <f t="shared" si="3"/>
        <v>USA</v>
      </c>
      <c r="D65" s="54" t="str">
        <f t="shared" si="3"/>
        <v>Paraguay</v>
      </c>
      <c r="E65" s="1"/>
      <c r="F65" s="1"/>
      <c r="G65" s="1"/>
      <c r="H65" s="1"/>
      <c r="I65" s="1"/>
      <c r="J65" s="1"/>
      <c r="K65" s="1"/>
      <c r="L65" s="1"/>
      <c r="M65" s="1"/>
      <c r="N65" s="1"/>
      <c r="O65" s="1"/>
      <c r="P65" s="1"/>
      <c r="Q65" s="1"/>
      <c r="R65" s="1"/>
      <c r="S65" s="1"/>
      <c r="T65" s="1"/>
      <c r="U65" s="1"/>
      <c r="V65" s="1"/>
      <c r="W65" s="1"/>
      <c r="X65" s="1"/>
      <c r="Y65" s="1"/>
      <c r="Z65" s="1"/>
    </row>
    <row r="66" spans="1:26" ht="14.25" hidden="1" customHeight="1" x14ac:dyDescent="0.25">
      <c r="A66" s="55" t="s">
        <v>45</v>
      </c>
      <c r="B66" s="56" t="str">
        <f t="shared" ref="B66:D66" si="4">IF(B8="","",B8)</f>
        <v>Tyskland</v>
      </c>
      <c r="C66" s="56" t="str">
        <f t="shared" si="4"/>
        <v>Ecuador</v>
      </c>
      <c r="D66" s="56" t="str">
        <f t="shared" si="4"/>
        <v>Elfenbenskusten</v>
      </c>
      <c r="E66" s="1"/>
      <c r="F66" s="1"/>
      <c r="G66" s="1"/>
      <c r="H66" s="1"/>
      <c r="I66" s="1"/>
      <c r="J66" s="1"/>
      <c r="K66" s="1"/>
      <c r="L66" s="1"/>
      <c r="M66" s="1"/>
      <c r="N66" s="1"/>
      <c r="O66" s="1"/>
      <c r="P66" s="1"/>
      <c r="Q66" s="1"/>
      <c r="R66" s="1"/>
      <c r="S66" s="1"/>
      <c r="T66" s="1"/>
      <c r="U66" s="1"/>
      <c r="V66" s="1"/>
      <c r="W66" s="1"/>
      <c r="X66" s="1"/>
      <c r="Y66" s="1"/>
      <c r="Z66" s="1"/>
    </row>
    <row r="67" spans="1:26" ht="14.25" hidden="1" customHeight="1" x14ac:dyDescent="0.25">
      <c r="A67" s="57" t="s">
        <v>50</v>
      </c>
      <c r="B67" s="58" t="str">
        <f t="shared" ref="B67:D67" si="5">IF(B9="","",B9)</f>
        <v>Nederländerna</v>
      </c>
      <c r="C67" s="58" t="str">
        <f t="shared" si="5"/>
        <v>Japan</v>
      </c>
      <c r="D67" s="58" t="str">
        <f t="shared" si="5"/>
        <v>Sverige</v>
      </c>
      <c r="E67" s="1"/>
      <c r="F67" s="1"/>
      <c r="G67" s="1"/>
      <c r="H67" s="1"/>
      <c r="I67" s="1"/>
      <c r="J67" s="1"/>
      <c r="K67" s="1"/>
      <c r="L67" s="1"/>
      <c r="M67" s="1"/>
      <c r="N67" s="1"/>
      <c r="O67" s="1"/>
      <c r="P67" s="1"/>
      <c r="Q67" s="1"/>
      <c r="R67" s="1"/>
      <c r="S67" s="1"/>
      <c r="T67" s="1"/>
      <c r="U67" s="1"/>
      <c r="V67" s="1"/>
      <c r="W67" s="1"/>
      <c r="X67" s="1"/>
      <c r="Y67" s="1"/>
      <c r="Z67" s="1"/>
    </row>
    <row r="68" spans="1:26" ht="14.25" hidden="1" customHeight="1" x14ac:dyDescent="0.25">
      <c r="A68" s="59" t="s">
        <v>55</v>
      </c>
      <c r="B68" s="60" t="str">
        <f t="shared" ref="B68:D68" si="6">IF(B10="","",B10)</f>
        <v>Belgien</v>
      </c>
      <c r="C68" s="60" t="str">
        <f t="shared" si="6"/>
        <v>Egypten</v>
      </c>
      <c r="D68" s="60" t="str">
        <f t="shared" si="6"/>
        <v>Iran</v>
      </c>
      <c r="E68" s="1"/>
      <c r="F68" s="1"/>
      <c r="G68" s="1"/>
      <c r="H68" s="1"/>
      <c r="I68" s="1"/>
      <c r="J68" s="1"/>
      <c r="K68" s="1"/>
      <c r="L68" s="1"/>
      <c r="M68" s="1"/>
      <c r="N68" s="1"/>
      <c r="O68" s="1"/>
      <c r="P68" s="1"/>
      <c r="Q68" s="1"/>
      <c r="R68" s="1"/>
      <c r="S68" s="1"/>
      <c r="T68" s="1"/>
      <c r="U68" s="1"/>
      <c r="V68" s="1"/>
      <c r="W68" s="1"/>
      <c r="X68" s="1"/>
      <c r="Y68" s="1"/>
      <c r="Z68" s="1"/>
    </row>
    <row r="69" spans="1:26" ht="14.25" hidden="1" customHeight="1" x14ac:dyDescent="0.25">
      <c r="A69" s="61" t="s">
        <v>60</v>
      </c>
      <c r="B69" s="47" t="str">
        <f t="shared" ref="B69:D69" si="7">IF(B11="","",B11)</f>
        <v>Spanien</v>
      </c>
      <c r="C69" s="47" t="str">
        <f t="shared" si="7"/>
        <v>Uruguay</v>
      </c>
      <c r="D69" s="47" t="str">
        <f t="shared" si="7"/>
        <v>Saudiarabien</v>
      </c>
      <c r="E69" s="1"/>
      <c r="F69" s="1"/>
      <c r="G69" s="1"/>
      <c r="H69" s="1"/>
      <c r="I69" s="1"/>
      <c r="J69" s="1"/>
      <c r="K69" s="1"/>
      <c r="L69" s="1"/>
      <c r="M69" s="1"/>
      <c r="N69" s="1"/>
      <c r="O69" s="1"/>
      <c r="P69" s="1"/>
      <c r="Q69" s="1"/>
      <c r="R69" s="1"/>
      <c r="S69" s="1"/>
      <c r="T69" s="1"/>
      <c r="U69" s="1"/>
      <c r="V69" s="1"/>
      <c r="W69" s="1"/>
      <c r="X69" s="1"/>
      <c r="Y69" s="1"/>
      <c r="Z69" s="1"/>
    </row>
    <row r="70" spans="1:26" ht="14.25" hidden="1" customHeight="1" x14ac:dyDescent="0.25">
      <c r="A70" s="62" t="s">
        <v>65</v>
      </c>
      <c r="B70" s="50" t="str">
        <f t="shared" ref="B70:D70" si="8">IF(B12="","",B12)</f>
        <v>Frankrike</v>
      </c>
      <c r="C70" s="50" t="str">
        <f t="shared" si="8"/>
        <v>Norge</v>
      </c>
      <c r="D70" s="50" t="str">
        <f t="shared" si="8"/>
        <v>Senegal</v>
      </c>
      <c r="E70" s="1"/>
      <c r="F70" s="1"/>
      <c r="G70" s="1"/>
      <c r="H70" s="1"/>
      <c r="I70" s="1"/>
      <c r="J70" s="1"/>
      <c r="K70" s="1"/>
      <c r="L70" s="1"/>
      <c r="M70" s="1"/>
      <c r="N70" s="1"/>
      <c r="O70" s="1"/>
      <c r="P70" s="1"/>
      <c r="Q70" s="1"/>
      <c r="R70" s="1"/>
      <c r="S70" s="1"/>
      <c r="T70" s="1"/>
      <c r="U70" s="1"/>
      <c r="V70" s="1"/>
      <c r="W70" s="1"/>
      <c r="X70" s="1"/>
      <c r="Y70" s="1"/>
      <c r="Z70" s="1"/>
    </row>
    <row r="71" spans="1:26" ht="14.25" hidden="1" customHeight="1" x14ac:dyDescent="0.25">
      <c r="A71" s="63" t="s">
        <v>70</v>
      </c>
      <c r="B71" s="52" t="str">
        <f t="shared" ref="B71:D71" si="9">IF(B13="","",B13)</f>
        <v>Argentina</v>
      </c>
      <c r="C71" s="52" t="str">
        <f t="shared" si="9"/>
        <v>Österrike</v>
      </c>
      <c r="D71" s="52" t="str">
        <f t="shared" si="9"/>
        <v>Algeriet</v>
      </c>
      <c r="E71" s="1"/>
      <c r="F71" s="1"/>
      <c r="G71" s="1"/>
      <c r="H71" s="1"/>
      <c r="I71" s="1"/>
      <c r="J71" s="1"/>
      <c r="K71" s="1"/>
      <c r="L71" s="1"/>
      <c r="M71" s="1"/>
      <c r="N71" s="1"/>
      <c r="O71" s="1"/>
      <c r="P71" s="1"/>
      <c r="Q71" s="1"/>
      <c r="R71" s="1"/>
      <c r="S71" s="1"/>
      <c r="T71" s="1"/>
      <c r="U71" s="1"/>
      <c r="V71" s="1"/>
      <c r="W71" s="1"/>
      <c r="X71" s="1"/>
      <c r="Y71" s="1"/>
      <c r="Z71" s="1"/>
    </row>
    <row r="72" spans="1:26" ht="14.25" hidden="1" customHeight="1" x14ac:dyDescent="0.25">
      <c r="A72" s="64" t="s">
        <v>75</v>
      </c>
      <c r="B72" s="54" t="str">
        <f t="shared" ref="B72:D72" si="10">IF(B14="","",B14)</f>
        <v>Portugal</v>
      </c>
      <c r="C72" s="54" t="str">
        <f t="shared" si="10"/>
        <v>Colombia</v>
      </c>
      <c r="D72" s="54" t="str">
        <f t="shared" si="10"/>
        <v>DR Kongo</v>
      </c>
      <c r="E72" s="1"/>
      <c r="F72" s="1"/>
      <c r="G72" s="1"/>
      <c r="H72" s="1"/>
      <c r="I72" s="1"/>
      <c r="J72" s="1"/>
      <c r="K72" s="1"/>
      <c r="L72" s="1"/>
      <c r="M72" s="1"/>
      <c r="N72" s="1"/>
      <c r="O72" s="1"/>
      <c r="P72" s="1"/>
      <c r="Q72" s="1"/>
      <c r="R72" s="1"/>
      <c r="S72" s="1"/>
      <c r="T72" s="1"/>
      <c r="U72" s="1"/>
      <c r="V72" s="1"/>
      <c r="W72" s="1"/>
      <c r="X72" s="1"/>
      <c r="Y72" s="1"/>
      <c r="Z72" s="1"/>
    </row>
    <row r="73" spans="1:26" ht="3" hidden="1" customHeight="1" x14ac:dyDescent="0.25">
      <c r="A73" s="65" t="s">
        <v>80</v>
      </c>
      <c r="B73" s="56" t="str">
        <f t="shared" ref="B73:D73" si="11">IF(B15="","",B15)</f>
        <v>Kroatien</v>
      </c>
      <c r="C73" s="56" t="str">
        <f t="shared" si="11"/>
        <v>England</v>
      </c>
      <c r="D73" s="56" t="str">
        <f t="shared" si="11"/>
        <v>Panama</v>
      </c>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30"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30"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3"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3"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3"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3"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3"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row r="87" spans="1:26" ht="3"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row r="89" spans="1:26" ht="3" customHeight="1" x14ac:dyDescent="0.25"/>
    <row r="90" spans="1:26" ht="14.25" customHeight="1" x14ac:dyDescent="0.25"/>
    <row r="91" spans="1:26" ht="3" customHeight="1" x14ac:dyDescent="0.25"/>
    <row r="92" spans="1:26" ht="14.25" customHeight="1" x14ac:dyDescent="0.25"/>
    <row r="93" spans="1:26" ht="14.25" customHeight="1" x14ac:dyDescent="0.25"/>
    <row r="94" spans="1:26" ht="14.25" customHeight="1" x14ac:dyDescent="0.25">
      <c r="F94" s="66"/>
    </row>
    <row r="95" spans="1:26" ht="14.25" customHeight="1" x14ac:dyDescent="0.25"/>
    <row r="96" spans="1:26" ht="14.25" customHeight="1" x14ac:dyDescent="0.25"/>
    <row r="97" spans="1:5" ht="15.75" customHeight="1" x14ac:dyDescent="0.25"/>
    <row r="98" spans="1:5" ht="15.75" customHeight="1" x14ac:dyDescent="0.25"/>
    <row r="99" spans="1:5" ht="15.75" customHeight="1" x14ac:dyDescent="0.25"/>
    <row r="100" spans="1:5" ht="15.75" customHeight="1" x14ac:dyDescent="0.25"/>
    <row r="101" spans="1:5" ht="15.75" customHeight="1" x14ac:dyDescent="0.25">
      <c r="A101" s="67"/>
      <c r="B101" s="66"/>
      <c r="C101" s="66"/>
      <c r="D101" s="66"/>
      <c r="E101" s="66"/>
    </row>
    <row r="102" spans="1:5" ht="15.75" customHeight="1" x14ac:dyDescent="0.25"/>
    <row r="103" spans="1:5" ht="15.75" customHeight="1" x14ac:dyDescent="0.25"/>
    <row r="104" spans="1:5" ht="15.75" customHeight="1" x14ac:dyDescent="0.25"/>
    <row r="105" spans="1:5" ht="15.75" customHeight="1" x14ac:dyDescent="0.25"/>
    <row r="106" spans="1:5" ht="15.75" customHeight="1" x14ac:dyDescent="0.25"/>
    <row r="107" spans="1:5" ht="15.75" customHeight="1" x14ac:dyDescent="0.25"/>
    <row r="108" spans="1:5" ht="15.75" customHeight="1" x14ac:dyDescent="0.25"/>
    <row r="109" spans="1:5" ht="15.75" customHeight="1" x14ac:dyDescent="0.25"/>
    <row r="110" spans="1:5" ht="15.75" customHeight="1" x14ac:dyDescent="0.25"/>
    <row r="111" spans="1:5" ht="15.75" customHeight="1" x14ac:dyDescent="0.25"/>
    <row r="112" spans="1:5"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F1"/>
    <mergeCell ref="A2:G2"/>
    <mergeCell ref="B59:E59"/>
    <mergeCell ref="A60:D60"/>
  </mergeCells>
  <conditionalFormatting sqref="B4:D15">
    <cfRule type="expression" dxfId="29" priority="1">
      <formula>$F4="Dublett"</formula>
    </cfRule>
  </conditionalFormatting>
  <conditionalFormatting sqref="B59:E59">
    <cfRule type="expression" dxfId="28" priority="2">
      <formula>$F$58&lt;&gt;12</formula>
    </cfRule>
  </conditionalFormatting>
  <conditionalFormatting sqref="C4:C7">
    <cfRule type="expression" dxfId="27" priority="3">
      <formula>AND(C4&lt;&gt;"",COUNTIF($C$4:$C$7,C4)&gt;1)</formula>
    </cfRule>
    <cfRule type="expression" dxfId="26" priority="4">
      <formula>AND(C4&lt;&gt;"",COUNTIF($C$4:$C$7,C4)&gt;1)</formula>
    </cfRule>
  </conditionalFormatting>
  <conditionalFormatting sqref="C8:C11">
    <cfRule type="expression" dxfId="25" priority="5">
      <formula>AND(C8&lt;&gt;"",COUNTIF($C$8:$C$11,C8)&gt;1)</formula>
    </cfRule>
    <cfRule type="expression" dxfId="24" priority="6">
      <formula>AND(C8&lt;&gt;"",COUNTIF($C$8:$C$11,C8)&gt;1)</formula>
    </cfRule>
  </conditionalFormatting>
  <conditionalFormatting sqref="C12:C15">
    <cfRule type="expression" dxfId="23" priority="7">
      <formula>AND(C12&lt;&gt;"",COUNTIF($C$12:$C$15,C12)&gt;1)</formula>
    </cfRule>
    <cfRule type="expression" dxfId="22" priority="8">
      <formula>AND(C12&lt;&gt;"",COUNTIF($C$12:$C$15,C12)&gt;1)</formula>
    </cfRule>
  </conditionalFormatting>
  <conditionalFormatting sqref="C16:C19">
    <cfRule type="expression" dxfId="21" priority="9">
      <formula>AND(C16&lt;&gt;"",COUNTIF($C$16:$C$19,C16)&gt;1)</formula>
    </cfRule>
    <cfRule type="expression" dxfId="20" priority="10">
      <formula>AND(C16&lt;&gt;"",COUNTIF($C$16:$C$19,C16)&gt;1)</formula>
    </cfRule>
  </conditionalFormatting>
  <conditionalFormatting sqref="C20:C23">
    <cfRule type="expression" dxfId="19" priority="11">
      <formula>AND(C20&lt;&gt;"",COUNTIF($C$20:$C$23,C20)&gt;1)</formula>
    </cfRule>
    <cfRule type="expression" dxfId="18" priority="12">
      <formula>AND(C20&lt;&gt;"",COUNTIF($C$20:$C$23,C20)&gt;1)</formula>
    </cfRule>
  </conditionalFormatting>
  <conditionalFormatting sqref="C24:C27">
    <cfRule type="expression" dxfId="17" priority="13">
      <formula>AND(C24&lt;&gt;"",COUNTIF($C$24:$C$27,C24)&gt;1)</formula>
    </cfRule>
    <cfRule type="expression" dxfId="16" priority="14">
      <formula>AND(C24&lt;&gt;"",COUNTIF($C$24:$C$27,C24)&gt;1)</formula>
    </cfRule>
  </conditionalFormatting>
  <conditionalFormatting sqref="C28:C31">
    <cfRule type="expression" dxfId="15" priority="15">
      <formula>AND(C28&lt;&gt;"",COUNTIF($C$28:$C$31,C28)&gt;1)</formula>
    </cfRule>
    <cfRule type="expression" dxfId="14" priority="16">
      <formula>AND(C28&lt;&gt;"",COUNTIF($C$28:$C$31,C28)&gt;1)</formula>
    </cfRule>
  </conditionalFormatting>
  <conditionalFormatting sqref="C32:C35">
    <cfRule type="expression" dxfId="13" priority="17">
      <formula>AND(C32&lt;&gt;"",COUNTIF($C$32:$C$35,C32)&gt;1)</formula>
    </cfRule>
    <cfRule type="expression" dxfId="12" priority="18">
      <formula>AND(C32&lt;&gt;"",COUNTIF($C$32:$C$35,C32)&gt;1)</formula>
    </cfRule>
  </conditionalFormatting>
  <conditionalFormatting sqref="C36:C39">
    <cfRule type="expression" dxfId="11" priority="19">
      <formula>AND(C36&lt;&gt;"",COUNTIF($C$36:$C$39,C36)&gt;1)</formula>
    </cfRule>
    <cfRule type="expression" dxfId="10" priority="20">
      <formula>AND(C36&lt;&gt;"",COUNTIF($C$36:$C$39,C36)&gt;1)</formula>
    </cfRule>
  </conditionalFormatting>
  <conditionalFormatting sqref="C40:C43">
    <cfRule type="expression" dxfId="9" priority="21">
      <formula>AND(C40&lt;&gt;"",COUNTIF($C$40:$C$43,C40)&gt;1)</formula>
    </cfRule>
    <cfRule type="expression" dxfId="8" priority="22">
      <formula>AND(C40&lt;&gt;"",COUNTIF($C$40:$C$43,C40)&gt;1)</formula>
    </cfRule>
  </conditionalFormatting>
  <conditionalFormatting sqref="C44:C47">
    <cfRule type="expression" dxfId="7" priority="23">
      <formula>AND(C44&lt;&gt;"",COUNTIF($C$44:$C$47,C44)&gt;1)</formula>
    </cfRule>
    <cfRule type="expression" dxfId="6" priority="24">
      <formula>AND(C44&lt;&gt;"",COUNTIF($C$44:$C$47,C44)&gt;1)</formula>
    </cfRule>
  </conditionalFormatting>
  <conditionalFormatting sqref="C48:C51">
    <cfRule type="expression" dxfId="5" priority="25">
      <formula>AND(C48&lt;&gt;"",COUNTIF($C$48:$C$51,C48)&gt;1)</formula>
    </cfRule>
    <cfRule type="expression" dxfId="4" priority="26">
      <formula>AND(C48&lt;&gt;"",COUNTIF($C$48:$C$51,C48)&gt;1)</formula>
    </cfRule>
  </conditionalFormatting>
  <conditionalFormatting sqref="F4:F15">
    <cfRule type="expression" dxfId="3" priority="27">
      <formula>$F4="OK"</formula>
    </cfRule>
    <cfRule type="expression" dxfId="2" priority="28">
      <formula>$F4="Dublett"</formula>
    </cfRule>
  </conditionalFormatting>
  <dataValidations count="12">
    <dataValidation type="list" allowBlank="1" showInputMessage="1" showErrorMessage="1" prompt="Fel lag - Välj ett lag från grupp L." sqref="B15:D15" xr:uid="{00000000-0002-0000-0100-000000000000}">
      <formula1>"Kroatien,England,Ghana,Panama"</formula1>
    </dataValidation>
    <dataValidation type="list" allowBlank="1" showInputMessage="1" showErrorMessage="1" prompt="Fel lag - Välj ett lag från grupp C." sqref="B6:D6" xr:uid="{00000000-0002-0000-0100-000001000000}">
      <formula1>"Brasilien,Haiti,Marocko,Skottland"</formula1>
    </dataValidation>
    <dataValidation type="list" allowBlank="1" showInputMessage="1" showErrorMessage="1" prompt="Fel lag - Välj ett lag från grupp A." sqref="B4:D4" xr:uid="{00000000-0002-0000-0100-000002000000}">
      <formula1>"Mexiko,Tjeckien,Sydafrika,Sydkorea"</formula1>
    </dataValidation>
    <dataValidation type="list" allowBlank="1" showInputMessage="1" showErrorMessage="1" prompt="Fel lag - Välj ett lag från grupp J." sqref="B13:D13" xr:uid="{00000000-0002-0000-0100-000003000000}">
      <formula1>"Algeriet,Argentina,Österrike,Jordanien"</formula1>
    </dataValidation>
    <dataValidation type="list" allowBlank="1" showInputMessage="1" showErrorMessage="1" prompt="Fel lag - Välj ett lag från grupp B." sqref="B5:D5" xr:uid="{00000000-0002-0000-0100-000004000000}">
      <formula1>"Kanada,Bosnien och Hercegovina,Qatar,Schweiz"</formula1>
    </dataValidation>
    <dataValidation type="list" allowBlank="1" showInputMessage="1" showErrorMessage="1" prompt="Fel lag - Välj ett lag från grupp G." sqref="B10:D10" xr:uid="{00000000-0002-0000-0100-000005000000}">
      <formula1>"Belgien,Egypten,Iran,Nya Zeeland"</formula1>
    </dataValidation>
    <dataValidation type="list" allowBlank="1" showInputMessage="1" showErrorMessage="1" prompt="Fel lag - Välj ett lag från grupp F." sqref="B9:D9" xr:uid="{00000000-0002-0000-0100-000006000000}">
      <formula1>"Nederländerna,Japan,Sverige,Tunisien"</formula1>
    </dataValidation>
    <dataValidation type="list" allowBlank="1" showInputMessage="1" showErrorMessage="1" prompt="Fel lag - Välj ett lag från grupp I." sqref="B12:D12" xr:uid="{00000000-0002-0000-0100-000007000000}">
      <formula1>"Frankrike,Norge,Senegal,Irak"</formula1>
    </dataValidation>
    <dataValidation type="list" allowBlank="1" showInputMessage="1" showErrorMessage="1" prompt="Fel lag - Välj ett lag från grupp D." sqref="B7:D7" xr:uid="{00000000-0002-0000-0100-000008000000}">
      <formula1>"USA,Australien,Paraguay,Turkiet"</formula1>
    </dataValidation>
    <dataValidation type="list" allowBlank="1" showInputMessage="1" showErrorMessage="1" prompt="Fel lag - Välj ett lag från grupp E." sqref="B8:D8" xr:uid="{00000000-0002-0000-0100-000009000000}">
      <formula1>"Curaçao,Ecuador,Tyskland,Elfenbenskusten"</formula1>
    </dataValidation>
    <dataValidation type="list" allowBlank="1" showInputMessage="1" showErrorMessage="1" prompt="Fel lag - Välj ett lag från grupp H." sqref="B11:D11" xr:uid="{00000000-0002-0000-0100-00000A000000}">
      <formula1>"Kap Verde,Saudiarabien,Spanien,Uruguay"</formula1>
    </dataValidation>
    <dataValidation type="list" allowBlank="1" showInputMessage="1" showErrorMessage="1" prompt="Fel lag - Välj ett lag från grupp K." sqref="B14:D14" xr:uid="{00000000-0002-0000-0100-00000B000000}">
      <formula1>"Colombia,DR Kongo,Portugal,Uzbekistan"</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showGridLines="0" workbookViewId="0"/>
  </sheetViews>
  <sheetFormatPr defaultColWidth="14.42578125" defaultRowHeight="15" customHeight="1" x14ac:dyDescent="0.25"/>
  <cols>
    <col min="1" max="1" width="14.7109375" customWidth="1"/>
    <col min="2" max="2" width="29" customWidth="1"/>
    <col min="3" max="3" width="8.7109375" customWidth="1"/>
    <col min="4" max="4" width="16.42578125" customWidth="1"/>
    <col min="5" max="5" width="8.7109375" customWidth="1"/>
    <col min="6" max="6" width="24.5703125" customWidth="1"/>
    <col min="7" max="12" width="8.7109375" customWidth="1"/>
  </cols>
  <sheetData>
    <row r="1" spans="1:6" ht="30" customHeight="1" x14ac:dyDescent="0.25">
      <c r="A1" s="163" t="s">
        <v>90</v>
      </c>
      <c r="B1" s="164"/>
      <c r="C1" s="164"/>
      <c r="D1" s="164"/>
      <c r="E1" s="164"/>
      <c r="F1" s="165"/>
    </row>
    <row r="2" spans="1:6" ht="30" customHeight="1" x14ac:dyDescent="0.25">
      <c r="A2" s="171" t="s">
        <v>91</v>
      </c>
      <c r="B2" s="172"/>
      <c r="C2" s="172"/>
      <c r="D2" s="172"/>
      <c r="E2" s="172"/>
      <c r="F2" s="172"/>
    </row>
    <row r="3" spans="1:6" ht="4.5" customHeight="1" x14ac:dyDescent="0.25"/>
    <row r="4" spans="1:6" ht="15.75" customHeight="1" x14ac:dyDescent="0.25">
      <c r="A4" s="1" t="s">
        <v>92</v>
      </c>
      <c r="B4" s="68" t="s">
        <v>53</v>
      </c>
    </row>
    <row r="5" spans="1:6" ht="4.5" customHeight="1" x14ac:dyDescent="0.25">
      <c r="A5" s="1"/>
      <c r="B5" s="1"/>
    </row>
    <row r="6" spans="1:6" ht="15.75" customHeight="1" x14ac:dyDescent="0.25">
      <c r="A6" s="1" t="s">
        <v>92</v>
      </c>
      <c r="B6" s="68" t="s">
        <v>33</v>
      </c>
    </row>
    <row r="7" spans="1:6" ht="4.5" customHeight="1" x14ac:dyDescent="0.25">
      <c r="A7" s="1"/>
      <c r="B7" s="1"/>
    </row>
    <row r="8" spans="1:6" ht="15.75" customHeight="1" x14ac:dyDescent="0.25">
      <c r="A8" s="1" t="s">
        <v>92</v>
      </c>
      <c r="B8" s="68" t="s">
        <v>38</v>
      </c>
    </row>
    <row r="9" spans="1:6" ht="4.5" customHeight="1" x14ac:dyDescent="0.25">
      <c r="A9" s="1"/>
      <c r="B9" s="1"/>
    </row>
    <row r="10" spans="1:6" ht="15.75" customHeight="1" x14ac:dyDescent="0.25">
      <c r="A10" s="1" t="s">
        <v>92</v>
      </c>
      <c r="B10" s="68" t="s">
        <v>78</v>
      </c>
    </row>
    <row r="11" spans="1:6" ht="4.5" customHeight="1" x14ac:dyDescent="0.25">
      <c r="A11" s="1"/>
      <c r="B11" s="1"/>
    </row>
    <row r="12" spans="1:6" ht="15.75" customHeight="1" x14ac:dyDescent="0.25">
      <c r="A12" s="1" t="s">
        <v>92</v>
      </c>
      <c r="B12" s="68" t="s">
        <v>28</v>
      </c>
    </row>
    <row r="13" spans="1:6" ht="4.5" customHeight="1" x14ac:dyDescent="0.25">
      <c r="A13" s="1"/>
      <c r="B13" s="1"/>
      <c r="C13" s="1"/>
      <c r="D13" s="1"/>
      <c r="E13" s="1"/>
    </row>
    <row r="14" spans="1:6" ht="15.75" customHeight="1" x14ac:dyDescent="0.25">
      <c r="A14" s="1" t="s">
        <v>92</v>
      </c>
      <c r="B14" s="68" t="s">
        <v>43</v>
      </c>
    </row>
    <row r="15" spans="1:6" ht="4.5" customHeight="1" x14ac:dyDescent="0.25">
      <c r="B15" s="1"/>
    </row>
    <row r="16" spans="1:6" ht="15.75" customHeight="1" x14ac:dyDescent="0.25">
      <c r="A16" s="1" t="s">
        <v>92</v>
      </c>
      <c r="B16" s="68" t="s">
        <v>48</v>
      </c>
    </row>
    <row r="17" spans="1:12" ht="4.5" customHeight="1" x14ac:dyDescent="0.25">
      <c r="B17" s="1"/>
    </row>
    <row r="18" spans="1:12" ht="15.75" customHeight="1" x14ac:dyDescent="0.25">
      <c r="A18" s="1" t="s">
        <v>92</v>
      </c>
      <c r="B18" s="68" t="s">
        <v>68</v>
      </c>
    </row>
    <row r="19" spans="1:12" ht="9" customHeight="1" x14ac:dyDescent="0.25"/>
    <row r="20" spans="1:12" ht="24" customHeight="1" x14ac:dyDescent="0.25">
      <c r="B20" s="168" t="s">
        <v>85</v>
      </c>
      <c r="C20" s="169"/>
      <c r="D20" s="169"/>
    </row>
    <row r="21" spans="1:12" ht="15.75" customHeight="1" x14ac:dyDescent="0.25"/>
    <row r="22" spans="1:12" ht="15.75" customHeight="1" x14ac:dyDescent="0.25"/>
    <row r="23" spans="1:12" ht="15.75" customHeight="1" x14ac:dyDescent="0.25"/>
    <row r="24" spans="1:12" ht="15.75" customHeight="1" x14ac:dyDescent="0.25"/>
    <row r="25" spans="1:12" ht="15.75" customHeight="1" x14ac:dyDescent="0.25"/>
    <row r="26" spans="1:12" ht="15.75" customHeight="1" x14ac:dyDescent="0.25"/>
    <row r="27" spans="1:12" ht="15.75" customHeight="1" x14ac:dyDescent="0.25">
      <c r="G27" s="69"/>
    </row>
    <row r="28" spans="1:12" ht="15.75" customHeight="1" x14ac:dyDescent="0.25"/>
    <row r="29" spans="1:12" ht="15.75" customHeight="1" x14ac:dyDescent="0.25"/>
    <row r="30" spans="1:12" ht="15.75" customHeight="1" x14ac:dyDescent="0.25">
      <c r="F30" s="1"/>
      <c r="G30" s="69"/>
      <c r="H30" s="69"/>
      <c r="I30" s="69"/>
      <c r="J30" s="69"/>
      <c r="K30" s="69"/>
      <c r="L30" s="1"/>
    </row>
    <row r="31" spans="1:12" ht="15.75" customHeight="1" x14ac:dyDescent="0.25"/>
    <row r="32" spans="1:12" ht="15.75" customHeight="1" x14ac:dyDescent="0.25">
      <c r="E32" s="1"/>
      <c r="F32" s="1"/>
      <c r="G32" s="1"/>
    </row>
    <row r="33" spans="5:7" ht="15.75" customHeight="1" x14ac:dyDescent="0.25">
      <c r="E33" s="1"/>
      <c r="F33" s="69"/>
      <c r="G33" s="1"/>
    </row>
    <row r="34" spans="5:7" ht="15.75" customHeight="1" x14ac:dyDescent="0.25"/>
    <row r="35" spans="5:7" ht="15.75" customHeight="1" x14ac:dyDescent="0.25"/>
    <row r="36" spans="5:7" ht="15.75" customHeight="1" x14ac:dyDescent="0.25"/>
    <row r="37" spans="5:7" ht="15.75" customHeight="1" x14ac:dyDescent="0.25"/>
    <row r="38" spans="5:7" ht="15.75" customHeight="1" x14ac:dyDescent="0.25"/>
    <row r="39" spans="5:7" ht="15.75" customHeight="1" x14ac:dyDescent="0.25"/>
    <row r="40" spans="5:7" ht="15.75" customHeight="1" x14ac:dyDescent="0.25"/>
    <row r="41" spans="5:7" ht="15.75" customHeight="1" x14ac:dyDescent="0.25"/>
    <row r="42" spans="5:7" ht="15.75" customHeight="1" x14ac:dyDescent="0.25"/>
    <row r="43" spans="5:7" ht="15.75" customHeight="1" x14ac:dyDescent="0.25"/>
    <row r="44" spans="5:7" ht="15.75" customHeight="1" x14ac:dyDescent="0.25"/>
    <row r="45" spans="5:7" ht="15.75" customHeight="1" x14ac:dyDescent="0.25"/>
    <row r="46" spans="5:7" ht="15.75" customHeight="1" x14ac:dyDescent="0.25"/>
    <row r="47" spans="5:7" ht="15.75" customHeight="1" x14ac:dyDescent="0.25"/>
    <row r="48" spans="5: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F1"/>
    <mergeCell ref="A2:F2"/>
    <mergeCell ref="B20:D20"/>
  </mergeCells>
  <conditionalFormatting sqref="B20:D20">
    <cfRule type="expression" dxfId="1" priority="1">
      <formula>COUNTA($B$4,$B$6,$B$8,$B$10,$B$12,$B$14,$B$16,$B$18)&lt;&gt;8</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'1. Gruppspel'!$D$4:$D$15</xm:f>
          </x14:formula1>
          <xm:sqref>B4 B6 B8 B10 B12 B14 B16 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showGridLines="0" workbookViewId="0"/>
  </sheetViews>
  <sheetFormatPr defaultColWidth="14.42578125" defaultRowHeight="15" customHeight="1" x14ac:dyDescent="0.25"/>
  <cols>
    <col min="1" max="1" width="1.7109375" customWidth="1"/>
    <col min="2" max="2" width="6.7109375" customWidth="1"/>
    <col min="3" max="3" width="9.140625" customWidth="1"/>
    <col min="4" max="4" width="15.7109375" customWidth="1"/>
    <col min="5" max="5" width="5.7109375" customWidth="1"/>
    <col min="6" max="6" width="9.140625" customWidth="1"/>
    <col min="7" max="7" width="15.7109375" customWidth="1"/>
    <col min="8" max="8" width="5.7109375" customWidth="1"/>
    <col min="9" max="9" width="7.85546875" customWidth="1"/>
    <col min="10" max="10" width="15.7109375" customWidth="1"/>
    <col min="11" max="11" width="5.7109375" customWidth="1"/>
    <col min="12" max="12" width="9.140625" customWidth="1"/>
    <col min="13" max="13" width="15.7109375" customWidth="1"/>
    <col min="14" max="14" width="9.140625" customWidth="1"/>
    <col min="15" max="15" width="5.7109375" customWidth="1"/>
    <col min="16" max="18" width="15.7109375" customWidth="1"/>
    <col min="19" max="19" width="5.7109375" customWidth="1"/>
    <col min="20" max="20" width="9.140625" customWidth="1"/>
    <col min="21" max="21" width="15.7109375" customWidth="1"/>
    <col min="22" max="22" width="9.140625" customWidth="1"/>
    <col min="23" max="23" width="5.7109375" customWidth="1"/>
    <col min="24" max="24" width="15.7109375" customWidth="1"/>
    <col min="25" max="25" width="5.7109375" customWidth="1"/>
    <col min="26" max="26" width="9.140625" customWidth="1"/>
    <col min="27" max="27" width="15.7109375" customWidth="1"/>
    <col min="28" max="28" width="9.140625" customWidth="1"/>
    <col min="29" max="29" width="5.7109375" customWidth="1"/>
    <col min="30" max="30" width="15.7109375" customWidth="1"/>
    <col min="31" max="31" width="12.5703125" customWidth="1"/>
    <col min="32" max="32" width="8.140625" customWidth="1"/>
    <col min="33" max="33" width="10.28515625" customWidth="1"/>
    <col min="34" max="35" width="9.140625" customWidth="1"/>
  </cols>
  <sheetData>
    <row r="1" spans="1:35" ht="9" customHeight="1" x14ac:dyDescent="0.25">
      <c r="A1" s="70"/>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row>
    <row r="2" spans="1:35" x14ac:dyDescent="0.25">
      <c r="A2" s="70"/>
      <c r="B2" s="71"/>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3"/>
      <c r="AG2" s="70"/>
      <c r="AH2" s="70"/>
      <c r="AI2" s="70"/>
    </row>
    <row r="3" spans="1:35" ht="27.75" customHeight="1" x14ac:dyDescent="0.25">
      <c r="A3" s="70"/>
      <c r="B3" s="74"/>
      <c r="C3" s="70"/>
      <c r="D3" s="70"/>
      <c r="E3" s="70"/>
      <c r="F3" s="70"/>
      <c r="G3" s="70"/>
      <c r="H3" s="70"/>
      <c r="I3" s="70"/>
      <c r="J3" s="70"/>
      <c r="K3" s="70"/>
      <c r="L3" s="70"/>
      <c r="M3" s="70"/>
      <c r="N3" s="70"/>
      <c r="O3" s="176" t="s">
        <v>93</v>
      </c>
      <c r="P3" s="177"/>
      <c r="Q3" s="177"/>
      <c r="R3" s="177"/>
      <c r="S3" s="178"/>
      <c r="T3" s="70"/>
      <c r="U3" s="70"/>
      <c r="V3" s="70"/>
      <c r="W3" s="70"/>
      <c r="X3" s="70"/>
      <c r="Y3" s="70"/>
      <c r="Z3" s="70"/>
      <c r="AA3" s="70"/>
      <c r="AB3" s="70"/>
      <c r="AC3" s="70"/>
      <c r="AD3" s="70"/>
      <c r="AE3" s="70"/>
      <c r="AF3" s="75"/>
      <c r="AG3" s="70"/>
      <c r="AH3" s="70"/>
      <c r="AI3" s="70"/>
    </row>
    <row r="4" spans="1:35" ht="21.75" customHeight="1" x14ac:dyDescent="0.35">
      <c r="A4" s="70"/>
      <c r="B4" s="74"/>
      <c r="C4" s="173" t="s">
        <v>94</v>
      </c>
      <c r="D4" s="174"/>
      <c r="E4" s="174"/>
      <c r="F4" s="70"/>
      <c r="G4" s="70"/>
      <c r="H4" s="70"/>
      <c r="I4" s="70"/>
      <c r="J4" s="70"/>
      <c r="K4" s="70"/>
      <c r="L4" s="70"/>
      <c r="M4" s="70"/>
      <c r="N4" s="70"/>
      <c r="O4" s="179"/>
      <c r="P4" s="180"/>
      <c r="Q4" s="180"/>
      <c r="R4" s="180"/>
      <c r="S4" s="181"/>
      <c r="T4" s="70"/>
      <c r="U4" s="70"/>
      <c r="V4" s="70"/>
      <c r="W4" s="70"/>
      <c r="X4" s="70"/>
      <c r="Y4" s="70"/>
      <c r="Z4" s="70"/>
      <c r="AA4" s="70"/>
      <c r="AB4" s="70"/>
      <c r="AC4" s="173" t="s">
        <v>94</v>
      </c>
      <c r="AD4" s="174"/>
      <c r="AE4" s="174"/>
      <c r="AF4" s="75"/>
      <c r="AG4" s="70"/>
      <c r="AH4" s="70"/>
      <c r="AI4" s="70"/>
    </row>
    <row r="5" spans="1:35" ht="15.75" customHeight="1" x14ac:dyDescent="0.25">
      <c r="A5" s="70"/>
      <c r="B5" s="76"/>
      <c r="C5" s="77"/>
      <c r="D5" s="77"/>
      <c r="E5" s="77"/>
      <c r="F5" s="77"/>
      <c r="G5" s="77"/>
      <c r="H5" s="77"/>
      <c r="I5" s="77"/>
      <c r="J5" s="77"/>
      <c r="K5" s="77"/>
      <c r="L5" s="77"/>
      <c r="M5" s="78"/>
      <c r="N5" s="78"/>
      <c r="O5" s="78"/>
      <c r="P5" s="78"/>
      <c r="Q5" s="78"/>
      <c r="R5" s="78"/>
      <c r="S5" s="78"/>
      <c r="T5" s="78"/>
      <c r="U5" s="78"/>
      <c r="V5" s="78"/>
      <c r="W5" s="78"/>
      <c r="X5" s="77"/>
      <c r="Y5" s="77"/>
      <c r="Z5" s="77"/>
      <c r="AA5" s="77"/>
      <c r="AB5" s="77"/>
      <c r="AC5" s="77"/>
      <c r="AD5" s="77"/>
      <c r="AE5" s="77"/>
      <c r="AF5" s="79"/>
      <c r="AG5" s="77"/>
      <c r="AH5" s="77"/>
      <c r="AI5" s="77"/>
    </row>
    <row r="6" spans="1:35" ht="15.75" customHeight="1" x14ac:dyDescent="0.25">
      <c r="A6" s="70"/>
      <c r="B6" s="74"/>
      <c r="C6" s="182" t="s">
        <v>95</v>
      </c>
      <c r="D6" s="81" t="str">
        <f t="array" ref="D6">INDEX(_Listor!$BY$3:$BZ$18,MATCH("M74",_Listor!$BX$3:$BX$18,0),1)</f>
        <v>Tyskland</v>
      </c>
      <c r="E6" s="77"/>
      <c r="F6" s="77"/>
      <c r="G6" s="70"/>
      <c r="H6" s="77"/>
      <c r="I6" s="77"/>
      <c r="J6" s="77"/>
      <c r="K6" s="77"/>
      <c r="L6" s="77"/>
      <c r="M6" s="77"/>
      <c r="N6" s="77"/>
      <c r="O6" s="77"/>
      <c r="P6" s="77"/>
      <c r="Q6" s="77"/>
      <c r="R6" s="77"/>
      <c r="S6" s="77"/>
      <c r="T6" s="77"/>
      <c r="U6" s="77"/>
      <c r="V6" s="77"/>
      <c r="W6" s="77"/>
      <c r="X6" s="77"/>
      <c r="Y6" s="77"/>
      <c r="Z6" s="77"/>
      <c r="AA6" s="70"/>
      <c r="AB6" s="77"/>
      <c r="AC6" s="77"/>
      <c r="AD6" s="81" t="str">
        <f t="array" ref="AD6">INDEX(_Listor!$BY$3:$BZ$18,MATCH("M76",_Listor!$BX$3:$BX$18,0),1)</f>
        <v>Brasilien</v>
      </c>
      <c r="AE6" s="175" t="s">
        <v>96</v>
      </c>
      <c r="AF6" s="75"/>
      <c r="AG6" s="82"/>
      <c r="AH6" s="77"/>
      <c r="AI6" s="77"/>
    </row>
    <row r="7" spans="1:35" ht="21.75" customHeight="1" x14ac:dyDescent="0.35">
      <c r="A7" s="70"/>
      <c r="B7" s="74"/>
      <c r="C7" s="169"/>
      <c r="D7" s="70"/>
      <c r="E7" s="77"/>
      <c r="F7" s="173" t="s">
        <v>97</v>
      </c>
      <c r="G7" s="174"/>
      <c r="H7" s="174"/>
      <c r="I7" s="77"/>
      <c r="J7" s="77"/>
      <c r="K7" s="77"/>
      <c r="L7" s="77"/>
      <c r="M7" s="77"/>
      <c r="N7" s="77"/>
      <c r="O7" s="77"/>
      <c r="P7" s="77"/>
      <c r="Q7" s="77"/>
      <c r="R7" s="77"/>
      <c r="S7" s="77"/>
      <c r="T7" s="77"/>
      <c r="U7" s="77"/>
      <c r="V7" s="77"/>
      <c r="W7" s="77"/>
      <c r="X7" s="77"/>
      <c r="Y7" s="77"/>
      <c r="Z7" s="173" t="s">
        <v>97</v>
      </c>
      <c r="AA7" s="174"/>
      <c r="AB7" s="174"/>
      <c r="AC7" s="77"/>
      <c r="AD7" s="70"/>
      <c r="AE7" s="169"/>
      <c r="AF7" s="75"/>
      <c r="AG7" s="82"/>
      <c r="AH7" s="77"/>
      <c r="AI7" s="77"/>
    </row>
    <row r="8" spans="1:35" ht="15.75" customHeight="1" x14ac:dyDescent="0.25">
      <c r="A8" s="70"/>
      <c r="B8" s="74"/>
      <c r="C8" s="169"/>
      <c r="D8" s="83" t="str">
        <f t="array" ref="D8">INDEX(_Listor!$BY$3:$BZ$18,MATCH("M74",_Listor!$BX$3:$BX$18,0),2)</f>
        <v>Paraguay</v>
      </c>
      <c r="E8" s="77"/>
      <c r="F8" s="77"/>
      <c r="G8" s="77"/>
      <c r="H8" s="77"/>
      <c r="I8" s="77"/>
      <c r="J8" s="77"/>
      <c r="K8" s="77"/>
      <c r="L8" s="77"/>
      <c r="M8" s="77"/>
      <c r="N8" s="77"/>
      <c r="O8" s="77"/>
      <c r="P8" s="77"/>
      <c r="Q8" s="77"/>
      <c r="R8" s="77"/>
      <c r="S8" s="77"/>
      <c r="T8" s="77"/>
      <c r="U8" s="77"/>
      <c r="V8" s="77"/>
      <c r="W8" s="77"/>
      <c r="X8" s="77"/>
      <c r="Y8" s="77"/>
      <c r="Z8" s="77"/>
      <c r="AA8" s="77"/>
      <c r="AB8" s="77"/>
      <c r="AC8" s="77"/>
      <c r="AD8" s="81" t="str">
        <f t="array" ref="AD8">INDEX(_Listor!$BY$3:$BZ$18,MATCH("M76",_Listor!$BX$3:$BX$18,0),2)</f>
        <v>Japan</v>
      </c>
      <c r="AE8" s="169"/>
      <c r="AF8" s="75"/>
      <c r="AG8" s="82"/>
      <c r="AH8" s="77"/>
      <c r="AI8" s="77"/>
    </row>
    <row r="9" spans="1:35" ht="15.75" customHeight="1" x14ac:dyDescent="0.25">
      <c r="A9" s="70"/>
      <c r="B9" s="84"/>
      <c r="C9" s="80"/>
      <c r="D9" s="77"/>
      <c r="E9" s="77"/>
      <c r="F9" s="175" t="s">
        <v>98</v>
      </c>
      <c r="G9" s="81" t="s">
        <v>46</v>
      </c>
      <c r="H9" s="77"/>
      <c r="I9" s="77"/>
      <c r="J9" s="77"/>
      <c r="K9" s="77"/>
      <c r="L9" s="70"/>
      <c r="M9" s="70"/>
      <c r="N9" s="70"/>
      <c r="O9" s="85"/>
      <c r="P9" s="85"/>
      <c r="Q9" s="85"/>
      <c r="R9" s="85"/>
      <c r="S9" s="85"/>
      <c r="T9" s="70"/>
      <c r="U9" s="85"/>
      <c r="V9" s="85"/>
      <c r="W9" s="85"/>
      <c r="X9" s="70"/>
      <c r="Y9" s="70"/>
      <c r="Z9" s="77"/>
      <c r="AA9" s="81" t="s">
        <v>36</v>
      </c>
      <c r="AB9" s="175" t="s">
        <v>99</v>
      </c>
      <c r="AC9" s="70"/>
      <c r="AD9" s="77"/>
      <c r="AE9" s="77"/>
      <c r="AF9" s="79"/>
      <c r="AG9" s="77"/>
      <c r="AH9" s="77"/>
      <c r="AI9" s="77"/>
    </row>
    <row r="10" spans="1:35" ht="15.75" customHeight="1" x14ac:dyDescent="0.25">
      <c r="A10" s="70"/>
      <c r="B10" s="84"/>
      <c r="C10" s="80"/>
      <c r="D10" s="77"/>
      <c r="E10" s="77"/>
      <c r="F10" s="169"/>
      <c r="G10" s="77"/>
      <c r="H10" s="77"/>
      <c r="I10" s="77"/>
      <c r="J10" s="77"/>
      <c r="K10" s="77"/>
      <c r="L10" s="77"/>
      <c r="M10" s="85"/>
      <c r="N10" s="85"/>
      <c r="O10" s="85"/>
      <c r="P10" s="85"/>
      <c r="Q10" s="85"/>
      <c r="R10" s="85"/>
      <c r="S10" s="85"/>
      <c r="T10" s="70"/>
      <c r="U10" s="85"/>
      <c r="V10" s="85"/>
      <c r="W10" s="85"/>
      <c r="X10" s="70"/>
      <c r="Y10" s="70"/>
      <c r="Z10" s="77"/>
      <c r="AA10" s="77"/>
      <c r="AB10" s="169"/>
      <c r="AC10" s="70"/>
      <c r="AD10" s="77"/>
      <c r="AE10" s="77"/>
      <c r="AF10" s="79"/>
      <c r="AG10" s="77"/>
      <c r="AH10" s="77"/>
      <c r="AI10" s="77"/>
    </row>
    <row r="11" spans="1:35" ht="15.75" customHeight="1" x14ac:dyDescent="0.25">
      <c r="A11" s="70"/>
      <c r="B11" s="84"/>
      <c r="C11" s="80"/>
      <c r="D11" s="77"/>
      <c r="E11" s="77"/>
      <c r="F11" s="169"/>
      <c r="G11" s="81" t="s">
        <v>66</v>
      </c>
      <c r="H11" s="77"/>
      <c r="I11" s="77"/>
      <c r="J11" s="77"/>
      <c r="K11" s="77"/>
      <c r="L11" s="77"/>
      <c r="M11" s="77"/>
      <c r="N11" s="77"/>
      <c r="O11" s="77"/>
      <c r="P11" s="77"/>
      <c r="Q11" s="77"/>
      <c r="R11" s="77"/>
      <c r="S11" s="77"/>
      <c r="T11" s="77"/>
      <c r="U11" s="77"/>
      <c r="V11" s="77"/>
      <c r="W11" s="77"/>
      <c r="X11" s="77"/>
      <c r="Y11" s="77"/>
      <c r="Z11" s="77"/>
      <c r="AA11" s="81" t="s">
        <v>67</v>
      </c>
      <c r="AB11" s="169"/>
      <c r="AC11" s="70"/>
      <c r="AD11" s="77"/>
      <c r="AE11" s="77"/>
      <c r="AF11" s="79"/>
      <c r="AG11" s="77"/>
      <c r="AH11" s="77"/>
      <c r="AI11" s="77"/>
    </row>
    <row r="12" spans="1:35" ht="15.75" customHeight="1" x14ac:dyDescent="0.25">
      <c r="A12" s="70"/>
      <c r="B12" s="74"/>
      <c r="C12" s="175" t="s">
        <v>100</v>
      </c>
      <c r="D12" s="81" t="str">
        <f t="array" ref="D12">INDEX(_Listor!$BY$3:$BZ$18,MATCH("M77",_Listor!$BX$3:$BX$18,0),1)</f>
        <v>Frankrike</v>
      </c>
      <c r="E12" s="77"/>
      <c r="F12" s="77"/>
      <c r="G12" s="77"/>
      <c r="H12" s="77"/>
      <c r="I12" s="77"/>
      <c r="J12" s="70"/>
      <c r="K12" s="77"/>
      <c r="L12" s="77"/>
      <c r="M12" s="77"/>
      <c r="N12" s="77"/>
      <c r="O12" s="70"/>
      <c r="P12" s="70"/>
      <c r="Q12" s="70"/>
      <c r="R12" s="70"/>
      <c r="S12" s="70"/>
      <c r="T12" s="77"/>
      <c r="U12" s="77"/>
      <c r="V12" s="77"/>
      <c r="W12" s="77"/>
      <c r="X12" s="70"/>
      <c r="Y12" s="77"/>
      <c r="Z12" s="77"/>
      <c r="AA12" s="77"/>
      <c r="AB12" s="77"/>
      <c r="AC12" s="77"/>
      <c r="AD12" s="81" t="str">
        <f t="array" ref="AD12">INDEX(_Listor!$BY$3:$BZ$18,MATCH("M78",_Listor!$BX$3:$BX$18,0),1)</f>
        <v>Ecuador</v>
      </c>
      <c r="AE12" s="175" t="s">
        <v>101</v>
      </c>
      <c r="AF12" s="75"/>
      <c r="AG12" s="82"/>
      <c r="AH12" s="77"/>
      <c r="AI12" s="77"/>
    </row>
    <row r="13" spans="1:35" ht="21.75" customHeight="1" x14ac:dyDescent="0.35">
      <c r="A13" s="70"/>
      <c r="B13" s="74"/>
      <c r="C13" s="169"/>
      <c r="D13" s="77"/>
      <c r="E13" s="77"/>
      <c r="F13" s="77"/>
      <c r="G13" s="77"/>
      <c r="H13" s="77"/>
      <c r="I13" s="173" t="s">
        <v>102</v>
      </c>
      <c r="J13" s="174"/>
      <c r="K13" s="174"/>
      <c r="L13" s="77"/>
      <c r="M13" s="77"/>
      <c r="N13" s="77"/>
      <c r="O13" s="70"/>
      <c r="P13" s="70"/>
      <c r="Q13" s="70"/>
      <c r="R13" s="70"/>
      <c r="S13" s="70"/>
      <c r="T13" s="77"/>
      <c r="U13" s="77"/>
      <c r="V13" s="77"/>
      <c r="W13" s="173" t="s">
        <v>102</v>
      </c>
      <c r="X13" s="174"/>
      <c r="Y13" s="174"/>
      <c r="Z13" s="77"/>
      <c r="AA13" s="77"/>
      <c r="AB13" s="77"/>
      <c r="AC13" s="77"/>
      <c r="AD13" s="70"/>
      <c r="AE13" s="169"/>
      <c r="AF13" s="75"/>
      <c r="AG13" s="82"/>
      <c r="AH13" s="77"/>
      <c r="AI13" s="77"/>
    </row>
    <row r="14" spans="1:35" ht="15.75" customHeight="1" x14ac:dyDescent="0.25">
      <c r="A14" s="70"/>
      <c r="B14" s="74"/>
      <c r="C14" s="169"/>
      <c r="D14" s="83" t="str">
        <f t="array" ref="D14">INDEX(_Listor!$BY$3:$BZ$18,MATCH("M77",_Listor!$BX$3:$BX$18,0),2)</f>
        <v>Sverige</v>
      </c>
      <c r="E14" s="77"/>
      <c r="F14" s="77"/>
      <c r="G14" s="77"/>
      <c r="H14" s="77"/>
      <c r="I14" s="77"/>
      <c r="J14" s="77"/>
      <c r="K14" s="77"/>
      <c r="L14" s="77"/>
      <c r="M14" s="77"/>
      <c r="N14" s="77"/>
      <c r="O14" s="77"/>
      <c r="P14" s="70"/>
      <c r="Q14" s="70"/>
      <c r="R14" s="70"/>
      <c r="S14" s="77"/>
      <c r="T14" s="77"/>
      <c r="U14" s="77"/>
      <c r="V14" s="77"/>
      <c r="W14" s="77"/>
      <c r="X14" s="77"/>
      <c r="Y14" s="77"/>
      <c r="Z14" s="77"/>
      <c r="AA14" s="77"/>
      <c r="AB14" s="77"/>
      <c r="AC14" s="77"/>
      <c r="AD14" s="81" t="str">
        <f t="array" ref="AD14">INDEX(_Listor!$BY$3:$BZ$18,MATCH("M78",_Listor!$BX$3:$BX$18,0),2)</f>
        <v>Norge</v>
      </c>
      <c r="AE14" s="169"/>
      <c r="AF14" s="75"/>
      <c r="AG14" s="82"/>
      <c r="AH14" s="77"/>
      <c r="AI14" s="77"/>
    </row>
    <row r="15" spans="1:35" ht="15.75" customHeight="1" x14ac:dyDescent="0.25">
      <c r="A15" s="70"/>
      <c r="B15" s="76"/>
      <c r="C15" s="77"/>
      <c r="D15" s="77"/>
      <c r="E15" s="77"/>
      <c r="F15" s="77"/>
      <c r="G15" s="77"/>
      <c r="H15" s="77"/>
      <c r="I15" s="175" t="s">
        <v>103</v>
      </c>
      <c r="J15" s="81" t="s">
        <v>66</v>
      </c>
      <c r="K15" s="77"/>
      <c r="L15" s="77"/>
      <c r="M15" s="77"/>
      <c r="N15" s="77"/>
      <c r="O15" s="77"/>
      <c r="P15" s="70"/>
      <c r="Q15" s="70"/>
      <c r="R15" s="70"/>
      <c r="S15" s="77"/>
      <c r="T15" s="77"/>
      <c r="U15" s="77"/>
      <c r="V15" s="77"/>
      <c r="W15" s="77"/>
      <c r="X15" s="81" t="s">
        <v>36</v>
      </c>
      <c r="Y15" s="175" t="s">
        <v>104</v>
      </c>
      <c r="Z15" s="70"/>
      <c r="AA15" s="77"/>
      <c r="AB15" s="77"/>
      <c r="AC15" s="77"/>
      <c r="AD15" s="77"/>
      <c r="AE15" s="77"/>
      <c r="AF15" s="79"/>
      <c r="AG15" s="77"/>
      <c r="AH15" s="77"/>
      <c r="AI15" s="77"/>
    </row>
    <row r="16" spans="1:35" ht="15.75" customHeight="1" x14ac:dyDescent="0.25">
      <c r="A16" s="70"/>
      <c r="B16" s="76"/>
      <c r="C16" s="77"/>
      <c r="D16" s="77"/>
      <c r="E16" s="77"/>
      <c r="F16" s="77"/>
      <c r="G16" s="77"/>
      <c r="H16" s="77"/>
      <c r="I16" s="169"/>
      <c r="J16" s="77"/>
      <c r="K16" s="77"/>
      <c r="L16" s="77"/>
      <c r="M16" s="77"/>
      <c r="N16" s="77"/>
      <c r="O16" s="77"/>
      <c r="P16" s="77"/>
      <c r="Q16" s="70"/>
      <c r="R16" s="77"/>
      <c r="S16" s="77"/>
      <c r="T16" s="77"/>
      <c r="U16" s="77"/>
      <c r="V16" s="77"/>
      <c r="W16" s="77"/>
      <c r="X16" s="77"/>
      <c r="Y16" s="169"/>
      <c r="Z16" s="70"/>
      <c r="AA16" s="77"/>
      <c r="AB16" s="77"/>
      <c r="AC16" s="77"/>
      <c r="AD16" s="77"/>
      <c r="AE16" s="77"/>
      <c r="AF16" s="79"/>
      <c r="AG16" s="77"/>
      <c r="AH16" s="77"/>
      <c r="AI16" s="77"/>
    </row>
    <row r="17" spans="1:35" ht="15.75" customHeight="1" x14ac:dyDescent="0.25">
      <c r="A17" s="70"/>
      <c r="B17" s="76"/>
      <c r="C17" s="77"/>
      <c r="D17" s="77"/>
      <c r="E17" s="77"/>
      <c r="F17" s="77"/>
      <c r="G17" s="77"/>
      <c r="H17" s="77"/>
      <c r="I17" s="169"/>
      <c r="J17" s="81" t="s">
        <v>51</v>
      </c>
      <c r="K17" s="77"/>
      <c r="L17" s="77"/>
      <c r="M17" s="77"/>
      <c r="N17" s="77"/>
      <c r="O17" s="77"/>
      <c r="P17" s="77"/>
      <c r="Q17" s="70"/>
      <c r="R17" s="77"/>
      <c r="S17" s="77"/>
      <c r="T17" s="77"/>
      <c r="U17" s="77"/>
      <c r="V17" s="77"/>
      <c r="W17" s="77"/>
      <c r="X17" s="81" t="s">
        <v>81</v>
      </c>
      <c r="Y17" s="169"/>
      <c r="Z17" s="70"/>
      <c r="AA17" s="77"/>
      <c r="AB17" s="77"/>
      <c r="AC17" s="77"/>
      <c r="AD17" s="77"/>
      <c r="AE17" s="77"/>
      <c r="AF17" s="79"/>
      <c r="AG17" s="77"/>
      <c r="AH17" s="77"/>
      <c r="AI17" s="77"/>
    </row>
    <row r="18" spans="1:35" ht="15.75" customHeight="1" x14ac:dyDescent="0.25">
      <c r="A18" s="70"/>
      <c r="B18" s="74"/>
      <c r="C18" s="175" t="s">
        <v>105</v>
      </c>
      <c r="D18" s="81" t="str">
        <f t="array" ref="D18">INDEX(_Listor!$BY$3:$BZ$18,MATCH("M73",_Listor!$BX$3:$BX$18,0),1)</f>
        <v>Mexiko</v>
      </c>
      <c r="E18" s="77"/>
      <c r="F18" s="77"/>
      <c r="G18" s="77"/>
      <c r="H18" s="77"/>
      <c r="I18" s="77"/>
      <c r="J18" s="77"/>
      <c r="K18" s="77"/>
      <c r="L18" s="77"/>
      <c r="M18" s="77"/>
      <c r="N18" s="77"/>
      <c r="O18" s="77"/>
      <c r="P18" s="77"/>
      <c r="Q18" s="77" t="s">
        <v>106</v>
      </c>
      <c r="R18" s="77"/>
      <c r="S18" s="77"/>
      <c r="T18" s="77"/>
      <c r="U18" s="77"/>
      <c r="V18" s="77"/>
      <c r="W18" s="77"/>
      <c r="X18" s="77"/>
      <c r="Y18" s="77"/>
      <c r="Z18" s="77"/>
      <c r="AA18" s="77"/>
      <c r="AB18" s="77"/>
      <c r="AC18" s="77"/>
      <c r="AD18" s="81" t="str">
        <f t="array" ref="AD18">INDEX(_Listor!$BY$3:$BZ$18,MATCH("M79",_Listor!$BX$3:$BX$18,0),1)</f>
        <v>Sydkorea</v>
      </c>
      <c r="AE18" s="175" t="s">
        <v>107</v>
      </c>
      <c r="AF18" s="75"/>
      <c r="AG18" s="82"/>
      <c r="AH18" s="77"/>
      <c r="AI18" s="77"/>
    </row>
    <row r="19" spans="1:35" ht="15.75" customHeight="1" x14ac:dyDescent="0.25">
      <c r="A19" s="70"/>
      <c r="B19" s="74"/>
      <c r="C19" s="169"/>
      <c r="D19" s="77"/>
      <c r="E19" s="77"/>
      <c r="F19" s="77"/>
      <c r="G19" s="77"/>
      <c r="H19" s="77"/>
      <c r="I19" s="77"/>
      <c r="J19" s="77"/>
      <c r="K19" s="77"/>
      <c r="L19" s="77"/>
      <c r="M19" s="77"/>
      <c r="N19" s="77"/>
      <c r="O19" s="77"/>
      <c r="P19" s="77"/>
      <c r="Q19" s="81" t="s">
        <v>66</v>
      </c>
      <c r="R19" s="77"/>
      <c r="S19" s="77"/>
      <c r="T19" s="77"/>
      <c r="U19" s="77"/>
      <c r="V19" s="77"/>
      <c r="W19" s="77"/>
      <c r="X19" s="77"/>
      <c r="Y19" s="77"/>
      <c r="Z19" s="77"/>
      <c r="AA19" s="77"/>
      <c r="AB19" s="77"/>
      <c r="AC19" s="77"/>
      <c r="AD19" s="70"/>
      <c r="AE19" s="169"/>
      <c r="AF19" s="75"/>
      <c r="AG19" s="82"/>
      <c r="AH19" s="77"/>
      <c r="AI19" s="77"/>
    </row>
    <row r="20" spans="1:35" ht="15.75" customHeight="1" x14ac:dyDescent="0.25">
      <c r="A20" s="70"/>
      <c r="B20" s="74"/>
      <c r="C20" s="169"/>
      <c r="D20" s="81" t="str">
        <f t="array" ref="D20">INDEX(_Listor!$BY$3:$BZ$18,MATCH("M73",_Listor!$BX$3:$BX$18,0),2)</f>
        <v>Bosnien och Hercegovina</v>
      </c>
      <c r="E20" s="77"/>
      <c r="F20" s="70"/>
      <c r="G20" s="77"/>
      <c r="H20" s="77"/>
      <c r="I20" s="77"/>
      <c r="J20" s="77"/>
      <c r="K20" s="77"/>
      <c r="L20" s="77"/>
      <c r="M20" s="77"/>
      <c r="N20" s="77"/>
      <c r="O20" s="77"/>
      <c r="P20" s="77"/>
      <c r="Q20" s="70"/>
      <c r="R20" s="77"/>
      <c r="S20" s="77"/>
      <c r="T20" s="77"/>
      <c r="U20" s="77"/>
      <c r="V20" s="77"/>
      <c r="W20" s="77"/>
      <c r="X20" s="77"/>
      <c r="Y20" s="77"/>
      <c r="Z20" s="77"/>
      <c r="AA20" s="77"/>
      <c r="AB20" s="77"/>
      <c r="AC20" s="77"/>
      <c r="AD20" s="83" t="str">
        <f t="array" ref="AD20">INDEX(_Listor!$BY$3:$BZ$18,MATCH("M79",_Listor!$BX$3:$BX$18,0),2)</f>
        <v>Skottland</v>
      </c>
      <c r="AE20" s="169"/>
      <c r="AF20" s="75"/>
      <c r="AG20" s="82"/>
      <c r="AH20" s="77"/>
      <c r="AI20" s="77"/>
    </row>
    <row r="21" spans="1:35" ht="15.75" customHeight="1" x14ac:dyDescent="0.25">
      <c r="A21" s="70"/>
      <c r="B21" s="74"/>
      <c r="C21" s="70"/>
      <c r="D21" s="70"/>
      <c r="E21" s="77"/>
      <c r="F21" s="175" t="s">
        <v>108</v>
      </c>
      <c r="G21" s="81" t="s">
        <v>27</v>
      </c>
      <c r="H21" s="77"/>
      <c r="I21" s="77"/>
      <c r="J21" s="77"/>
      <c r="K21" s="77"/>
      <c r="L21" s="77"/>
      <c r="M21" s="77"/>
      <c r="N21" s="77"/>
      <c r="O21" s="77"/>
      <c r="P21" s="81" t="s">
        <v>66</v>
      </c>
      <c r="Q21" s="70"/>
      <c r="R21" s="81" t="s">
        <v>36</v>
      </c>
      <c r="S21" s="77"/>
      <c r="T21" s="77"/>
      <c r="U21" s="77"/>
      <c r="V21" s="77"/>
      <c r="W21" s="77"/>
      <c r="X21" s="77"/>
      <c r="Y21" s="77"/>
      <c r="Z21" s="77"/>
      <c r="AA21" s="81" t="s">
        <v>38</v>
      </c>
      <c r="AB21" s="175" t="s">
        <v>109</v>
      </c>
      <c r="AC21" s="70"/>
      <c r="AD21" s="77"/>
      <c r="AE21" s="77"/>
      <c r="AF21" s="79"/>
      <c r="AG21" s="77"/>
      <c r="AH21" s="77"/>
      <c r="AI21" s="77"/>
    </row>
    <row r="22" spans="1:35" ht="15.75" customHeight="1" x14ac:dyDescent="0.25">
      <c r="A22" s="70"/>
      <c r="B22" s="74"/>
      <c r="C22" s="70"/>
      <c r="D22" s="70"/>
      <c r="E22" s="77"/>
      <c r="F22" s="169"/>
      <c r="G22" s="77"/>
      <c r="H22" s="77"/>
      <c r="I22" s="77"/>
      <c r="J22" s="77"/>
      <c r="K22" s="77"/>
      <c r="L22" s="77"/>
      <c r="M22" s="77"/>
      <c r="N22" s="77"/>
      <c r="O22" s="77"/>
      <c r="P22" s="70"/>
      <c r="Q22" s="77" t="s">
        <v>110</v>
      </c>
      <c r="R22" s="70"/>
      <c r="S22" s="77"/>
      <c r="T22" s="77"/>
      <c r="U22" s="77"/>
      <c r="V22" s="77"/>
      <c r="W22" s="77"/>
      <c r="X22" s="77"/>
      <c r="Y22" s="77"/>
      <c r="Z22" s="77"/>
      <c r="AA22" s="77"/>
      <c r="AB22" s="169"/>
      <c r="AC22" s="70"/>
      <c r="AD22" s="77"/>
      <c r="AE22" s="77"/>
      <c r="AF22" s="79"/>
      <c r="AG22" s="77"/>
      <c r="AH22" s="77"/>
      <c r="AI22" s="77"/>
    </row>
    <row r="23" spans="1:35" ht="21" customHeight="1" x14ac:dyDescent="0.35">
      <c r="A23" s="70"/>
      <c r="B23" s="74"/>
      <c r="C23" s="70"/>
      <c r="D23" s="70"/>
      <c r="E23" s="77"/>
      <c r="F23" s="169"/>
      <c r="G23" s="81" t="s">
        <v>51</v>
      </c>
      <c r="H23" s="77"/>
      <c r="I23" s="77"/>
      <c r="J23" s="77"/>
      <c r="K23" s="77"/>
      <c r="L23" s="77"/>
      <c r="M23" s="77"/>
      <c r="N23" s="77"/>
      <c r="O23" s="77"/>
      <c r="P23" s="173" t="s">
        <v>111</v>
      </c>
      <c r="Q23" s="174"/>
      <c r="R23" s="174"/>
      <c r="S23" s="77"/>
      <c r="T23" s="77"/>
      <c r="U23" s="77"/>
      <c r="V23" s="77"/>
      <c r="W23" s="77"/>
      <c r="X23" s="77"/>
      <c r="Y23" s="77"/>
      <c r="Z23" s="77"/>
      <c r="AA23" s="81" t="s">
        <v>81</v>
      </c>
      <c r="AB23" s="169"/>
      <c r="AC23" s="70"/>
      <c r="AD23" s="77"/>
      <c r="AE23" s="77"/>
      <c r="AF23" s="75"/>
      <c r="AG23" s="70"/>
      <c r="AH23" s="77"/>
      <c r="AI23" s="77"/>
    </row>
    <row r="24" spans="1:35" ht="15.75" customHeight="1" x14ac:dyDescent="0.25">
      <c r="A24" s="70"/>
      <c r="B24" s="74"/>
      <c r="C24" s="175" t="s">
        <v>112</v>
      </c>
      <c r="D24" s="81" t="str">
        <f t="array" ref="D24">INDEX(_Listor!$BY$3:$BZ$18,MATCH("M75",_Listor!$BX$3:$BX$18,0),1)</f>
        <v>Nederländerna</v>
      </c>
      <c r="E24" s="77"/>
      <c r="F24" s="77"/>
      <c r="G24" s="77"/>
      <c r="H24" s="77"/>
      <c r="I24" s="77"/>
      <c r="J24" s="77"/>
      <c r="K24" s="77"/>
      <c r="L24" s="77"/>
      <c r="M24" s="77"/>
      <c r="N24" s="77"/>
      <c r="O24" s="77"/>
      <c r="P24" s="70"/>
      <c r="Q24" s="70"/>
      <c r="R24" s="70"/>
      <c r="S24" s="77"/>
      <c r="T24" s="77"/>
      <c r="U24" s="77"/>
      <c r="V24" s="77"/>
      <c r="W24" s="77"/>
      <c r="X24" s="77"/>
      <c r="Y24" s="77"/>
      <c r="Z24" s="77"/>
      <c r="AA24" s="77"/>
      <c r="AB24" s="77"/>
      <c r="AC24" s="77"/>
      <c r="AD24" s="81" t="str">
        <f t="array" ref="AD24">INDEX(_Listor!$BY$3:$BZ$18,MATCH("M80",_Listor!$BX$3:$BX$18,0),1)</f>
        <v>Kroatien</v>
      </c>
      <c r="AE24" s="175" t="s">
        <v>113</v>
      </c>
      <c r="AF24" s="75"/>
      <c r="AG24" s="82"/>
      <c r="AH24" s="77"/>
      <c r="AI24" s="77"/>
    </row>
    <row r="25" spans="1:35" ht="15.75" customHeight="1" x14ac:dyDescent="0.25">
      <c r="A25" s="70"/>
      <c r="B25" s="74"/>
      <c r="C25" s="169"/>
      <c r="D25" s="77"/>
      <c r="E25" s="77"/>
      <c r="F25" s="77"/>
      <c r="G25" s="77"/>
      <c r="H25" s="77"/>
      <c r="I25" s="77"/>
      <c r="J25" s="77"/>
      <c r="K25" s="77"/>
      <c r="L25" s="77"/>
      <c r="M25" s="70"/>
      <c r="N25" s="77"/>
      <c r="O25" s="77"/>
      <c r="P25" s="77"/>
      <c r="Q25" s="77"/>
      <c r="R25" s="77"/>
      <c r="S25" s="77"/>
      <c r="T25" s="77"/>
      <c r="U25" s="70"/>
      <c r="V25" s="77"/>
      <c r="W25" s="77"/>
      <c r="X25" s="77"/>
      <c r="Y25" s="77"/>
      <c r="Z25" s="77"/>
      <c r="AA25" s="77"/>
      <c r="AB25" s="77"/>
      <c r="AC25" s="77"/>
      <c r="AD25" s="70"/>
      <c r="AE25" s="169"/>
      <c r="AF25" s="75"/>
      <c r="AG25" s="82"/>
      <c r="AH25" s="77"/>
      <c r="AI25" s="77"/>
    </row>
    <row r="26" spans="1:35" ht="21.75" customHeight="1" x14ac:dyDescent="0.35">
      <c r="A26" s="70"/>
      <c r="B26" s="74"/>
      <c r="C26" s="169"/>
      <c r="D26" s="81" t="str">
        <f t="array" ref="D26">INDEX(_Listor!$BY$3:$BZ$18,MATCH("M75",_Listor!$BX$3:$BX$18,0),2)</f>
        <v>Marocko</v>
      </c>
      <c r="E26" s="77"/>
      <c r="F26" s="77"/>
      <c r="G26" s="77"/>
      <c r="H26" s="77"/>
      <c r="I26" s="77"/>
      <c r="J26" s="77"/>
      <c r="K26" s="77"/>
      <c r="L26" s="173" t="s">
        <v>114</v>
      </c>
      <c r="M26" s="174"/>
      <c r="N26" s="174"/>
      <c r="O26" s="77"/>
      <c r="P26" s="183" t="s">
        <v>85</v>
      </c>
      <c r="Q26" s="169"/>
      <c r="R26" s="169"/>
      <c r="S26" s="77"/>
      <c r="T26" s="173" t="s">
        <v>114</v>
      </c>
      <c r="U26" s="174"/>
      <c r="V26" s="174"/>
      <c r="W26" s="77"/>
      <c r="X26" s="70"/>
      <c r="Y26" s="70"/>
      <c r="Z26" s="77"/>
      <c r="AA26" s="77"/>
      <c r="AB26" s="77"/>
      <c r="AC26" s="77"/>
      <c r="AD26" s="83" t="str">
        <f t="array" ref="AD26">INDEX(_Listor!$BY$3:$BZ$18,MATCH("M80",_Listor!$BX$3:$BX$18,0),2)</f>
        <v>DR Kongo</v>
      </c>
      <c r="AE26" s="169"/>
      <c r="AF26" s="75"/>
      <c r="AG26" s="82"/>
      <c r="AH26" s="77"/>
      <c r="AI26" s="77"/>
    </row>
    <row r="27" spans="1:35" ht="15.75" customHeight="1" x14ac:dyDescent="0.25">
      <c r="A27" s="70"/>
      <c r="B27" s="74"/>
      <c r="C27" s="70"/>
      <c r="D27" s="70"/>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9"/>
      <c r="AG27" s="77"/>
      <c r="AH27" s="77"/>
      <c r="AI27" s="77"/>
    </row>
    <row r="28" spans="1:35" ht="15.75" customHeight="1" x14ac:dyDescent="0.25">
      <c r="A28" s="70"/>
      <c r="B28" s="74"/>
      <c r="C28" s="70"/>
      <c r="D28" s="70"/>
      <c r="E28" s="77"/>
      <c r="F28" s="77"/>
      <c r="G28" s="77"/>
      <c r="H28" s="77"/>
      <c r="I28" s="77"/>
      <c r="J28" s="77"/>
      <c r="K28" s="77"/>
      <c r="L28" s="175" t="s">
        <v>115</v>
      </c>
      <c r="M28" s="81" t="s">
        <v>66</v>
      </c>
      <c r="N28" s="77"/>
      <c r="O28" s="77"/>
      <c r="P28" s="77"/>
      <c r="Q28" s="77"/>
      <c r="R28" s="77"/>
      <c r="S28" s="77"/>
      <c r="T28" s="77"/>
      <c r="U28" s="81" t="s">
        <v>36</v>
      </c>
      <c r="V28" s="175" t="s">
        <v>116</v>
      </c>
      <c r="W28" s="70"/>
      <c r="X28" s="77"/>
      <c r="Y28" s="77"/>
      <c r="Z28" s="77"/>
      <c r="AA28" s="77"/>
      <c r="AB28" s="77"/>
      <c r="AC28" s="77"/>
      <c r="AD28" s="77"/>
      <c r="AE28" s="77"/>
      <c r="AF28" s="79"/>
      <c r="AG28" s="77"/>
      <c r="AH28" s="77"/>
      <c r="AI28" s="77"/>
    </row>
    <row r="29" spans="1:35" ht="15.75" customHeight="1" x14ac:dyDescent="0.25">
      <c r="A29" s="70"/>
      <c r="B29" s="74"/>
      <c r="C29" s="70"/>
      <c r="D29" s="70"/>
      <c r="E29" s="77"/>
      <c r="F29" s="77"/>
      <c r="G29" s="77"/>
      <c r="H29" s="77"/>
      <c r="I29" s="77"/>
      <c r="J29" s="77"/>
      <c r="K29" s="77"/>
      <c r="L29" s="169"/>
      <c r="M29" s="77"/>
      <c r="N29" s="77"/>
      <c r="O29" s="77"/>
      <c r="P29" s="77"/>
      <c r="Q29" s="77"/>
      <c r="R29" s="77"/>
      <c r="S29" s="77"/>
      <c r="T29" s="77"/>
      <c r="U29" s="77"/>
      <c r="V29" s="169"/>
      <c r="W29" s="70"/>
      <c r="X29" s="70"/>
      <c r="Y29" s="70"/>
      <c r="Z29" s="77"/>
      <c r="AA29" s="77"/>
      <c r="AB29" s="77"/>
      <c r="AC29" s="77"/>
      <c r="AD29" s="77"/>
      <c r="AE29" s="77"/>
      <c r="AF29" s="79"/>
      <c r="AG29" s="77"/>
      <c r="AH29" s="77"/>
      <c r="AI29" s="77"/>
    </row>
    <row r="30" spans="1:35" ht="15.75" customHeight="1" x14ac:dyDescent="0.25">
      <c r="A30" s="70"/>
      <c r="B30" s="74"/>
      <c r="C30" s="70"/>
      <c r="D30" s="70"/>
      <c r="E30" s="77"/>
      <c r="F30" s="77"/>
      <c r="G30" s="77"/>
      <c r="H30" s="77"/>
      <c r="I30" s="77"/>
      <c r="J30" s="77"/>
      <c r="K30" s="77"/>
      <c r="L30" s="169"/>
      <c r="M30" s="81" t="s">
        <v>82</v>
      </c>
      <c r="N30" s="77"/>
      <c r="O30" s="77"/>
      <c r="P30" s="77"/>
      <c r="Q30" s="77"/>
      <c r="R30" s="77"/>
      <c r="S30" s="77"/>
      <c r="T30" s="77"/>
      <c r="U30" s="81" t="s">
        <v>71</v>
      </c>
      <c r="V30" s="169"/>
      <c r="W30" s="70"/>
      <c r="X30" s="77"/>
      <c r="Y30" s="77"/>
      <c r="Z30" s="77"/>
      <c r="AA30" s="77"/>
      <c r="AB30" s="77"/>
      <c r="AC30" s="77"/>
      <c r="AD30" s="77"/>
      <c r="AE30" s="77"/>
      <c r="AF30" s="79"/>
      <c r="AG30" s="77"/>
      <c r="AH30" s="77"/>
      <c r="AI30" s="77"/>
    </row>
    <row r="31" spans="1:35" ht="15.75" customHeight="1" x14ac:dyDescent="0.25">
      <c r="A31" s="70"/>
      <c r="B31" s="76"/>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9"/>
      <c r="AG31" s="77"/>
      <c r="AH31" s="77"/>
      <c r="AI31" s="77"/>
    </row>
    <row r="32" spans="1:35" ht="15.75" customHeight="1" x14ac:dyDescent="0.25">
      <c r="A32" s="70"/>
      <c r="B32" s="74"/>
      <c r="C32" s="175" t="s">
        <v>117</v>
      </c>
      <c r="D32" s="81" t="str">
        <f t="array" ref="D32">INDEX(_Listor!$BY$3:$BZ$18,MATCH("M83",_Listor!$BX$3:$BX$18,0),1)</f>
        <v>Colombia</v>
      </c>
      <c r="E32" s="77"/>
      <c r="F32" s="77"/>
      <c r="G32" s="77"/>
      <c r="H32" s="77"/>
      <c r="I32" s="77"/>
      <c r="J32" s="77"/>
      <c r="K32" s="77"/>
      <c r="L32" s="77"/>
      <c r="M32" s="77"/>
      <c r="N32" s="77"/>
      <c r="O32" s="77"/>
      <c r="P32" s="70"/>
      <c r="Q32" s="70"/>
      <c r="R32" s="70"/>
      <c r="S32" s="77"/>
      <c r="T32" s="77"/>
      <c r="U32" s="77"/>
      <c r="V32" s="77"/>
      <c r="W32" s="77"/>
      <c r="X32" s="77"/>
      <c r="Y32" s="77"/>
      <c r="Z32" s="77"/>
      <c r="AA32" s="77"/>
      <c r="AB32" s="77"/>
      <c r="AC32" s="77"/>
      <c r="AD32" s="81" t="str">
        <f t="array" ref="AD32">INDEX(_Listor!$BY$3:$BZ$18,MATCH("M86",_Listor!$BX$3:$BX$18,0),1)</f>
        <v>Argentina</v>
      </c>
      <c r="AE32" s="175" t="s">
        <v>118</v>
      </c>
      <c r="AF32" s="75"/>
      <c r="AG32" s="82"/>
      <c r="AH32" s="77"/>
      <c r="AI32" s="77"/>
    </row>
    <row r="33" spans="1:35" ht="15.75" customHeight="1" x14ac:dyDescent="0.25">
      <c r="A33" s="70"/>
      <c r="B33" s="74"/>
      <c r="C33" s="169"/>
      <c r="D33" s="77"/>
      <c r="E33" s="77"/>
      <c r="F33" s="77"/>
      <c r="G33" s="77"/>
      <c r="H33" s="77"/>
      <c r="I33" s="77"/>
      <c r="J33" s="77"/>
      <c r="K33" s="77"/>
      <c r="L33" s="77"/>
      <c r="M33" s="77"/>
      <c r="N33" s="77"/>
      <c r="O33" s="77"/>
      <c r="P33" s="70"/>
      <c r="Q33" s="70"/>
      <c r="R33" s="70"/>
      <c r="S33" s="77"/>
      <c r="T33" s="77"/>
      <c r="U33" s="77"/>
      <c r="V33" s="77"/>
      <c r="W33" s="77"/>
      <c r="X33" s="77"/>
      <c r="Y33" s="77"/>
      <c r="Z33" s="77"/>
      <c r="AA33" s="77"/>
      <c r="AB33" s="77"/>
      <c r="AC33" s="77"/>
      <c r="AD33" s="70"/>
      <c r="AE33" s="169"/>
      <c r="AF33" s="75"/>
      <c r="AG33" s="82"/>
      <c r="AH33" s="77"/>
      <c r="AI33" s="77"/>
    </row>
    <row r="34" spans="1:35" ht="21.75" customHeight="1" x14ac:dyDescent="0.35">
      <c r="A34" s="70"/>
      <c r="B34" s="74"/>
      <c r="C34" s="169"/>
      <c r="D34" s="81" t="str">
        <f t="array" ref="D34">INDEX(_Listor!$BY$3:$BZ$18,MATCH("M83",_Listor!$BX$3:$BX$18,0),2)</f>
        <v>England</v>
      </c>
      <c r="E34" s="77"/>
      <c r="F34" s="70"/>
      <c r="G34" s="77"/>
      <c r="H34" s="77"/>
      <c r="I34" s="77"/>
      <c r="J34" s="77"/>
      <c r="K34" s="77"/>
      <c r="L34" s="77"/>
      <c r="M34" s="77"/>
      <c r="N34" s="77"/>
      <c r="O34" s="77"/>
      <c r="P34" s="173" t="s">
        <v>119</v>
      </c>
      <c r="Q34" s="174"/>
      <c r="R34" s="174"/>
      <c r="S34" s="77"/>
      <c r="T34" s="77"/>
      <c r="U34" s="77"/>
      <c r="V34" s="77"/>
      <c r="W34" s="77"/>
      <c r="X34" s="77"/>
      <c r="Y34" s="77"/>
      <c r="Z34" s="77"/>
      <c r="AA34" s="77"/>
      <c r="AB34" s="77"/>
      <c r="AC34" s="77"/>
      <c r="AD34" s="81" t="str">
        <f t="array" ref="AD34">INDEX(_Listor!$BY$3:$BZ$18,MATCH("M86",_Listor!$BX$3:$BX$18,0),2)</f>
        <v>Uruguay</v>
      </c>
      <c r="AE34" s="169"/>
      <c r="AF34" s="75"/>
      <c r="AG34" s="82"/>
      <c r="AH34" s="77"/>
      <c r="AI34" s="77"/>
    </row>
    <row r="35" spans="1:35" ht="15.75" customHeight="1" x14ac:dyDescent="0.25">
      <c r="A35" s="70"/>
      <c r="B35" s="76"/>
      <c r="C35" s="77"/>
      <c r="D35" s="77"/>
      <c r="E35" s="77"/>
      <c r="F35" s="175" t="s">
        <v>120</v>
      </c>
      <c r="G35" s="81" t="s">
        <v>82</v>
      </c>
      <c r="H35" s="77"/>
      <c r="I35" s="77"/>
      <c r="J35" s="77"/>
      <c r="K35" s="77"/>
      <c r="L35" s="77"/>
      <c r="M35" s="77"/>
      <c r="N35" s="77"/>
      <c r="O35" s="77"/>
      <c r="P35" s="70"/>
      <c r="Q35" s="77" t="s">
        <v>121</v>
      </c>
      <c r="R35" s="70"/>
      <c r="S35" s="77"/>
      <c r="T35" s="77"/>
      <c r="U35" s="77"/>
      <c r="V35" s="77"/>
      <c r="W35" s="77"/>
      <c r="X35" s="77"/>
      <c r="Y35" s="77"/>
      <c r="Z35" s="77"/>
      <c r="AA35" s="81" t="s">
        <v>71</v>
      </c>
      <c r="AB35" s="175" t="s">
        <v>122</v>
      </c>
      <c r="AC35" s="70"/>
      <c r="AD35" s="77"/>
      <c r="AE35" s="77"/>
      <c r="AF35" s="79"/>
      <c r="AG35" s="77"/>
      <c r="AH35" s="77"/>
      <c r="AI35" s="77"/>
    </row>
    <row r="36" spans="1:35" ht="15.75" customHeight="1" x14ac:dyDescent="0.25">
      <c r="A36" s="70"/>
      <c r="B36" s="76"/>
      <c r="C36" s="77"/>
      <c r="D36" s="77"/>
      <c r="E36" s="77"/>
      <c r="F36" s="169"/>
      <c r="G36" s="77"/>
      <c r="H36" s="77"/>
      <c r="I36" s="77"/>
      <c r="J36" s="77"/>
      <c r="K36" s="77"/>
      <c r="L36" s="77"/>
      <c r="M36" s="77"/>
      <c r="N36" s="77"/>
      <c r="O36" s="77"/>
      <c r="P36" s="81" t="s">
        <v>82</v>
      </c>
      <c r="Q36" s="70"/>
      <c r="R36" s="81" t="s">
        <v>71</v>
      </c>
      <c r="S36" s="77"/>
      <c r="T36" s="77"/>
      <c r="U36" s="77"/>
      <c r="V36" s="77"/>
      <c r="W36" s="77"/>
      <c r="X36" s="77"/>
      <c r="Y36" s="77"/>
      <c r="Z36" s="77"/>
      <c r="AA36" s="77"/>
      <c r="AB36" s="169"/>
      <c r="AC36" s="70"/>
      <c r="AD36" s="77"/>
      <c r="AE36" s="77"/>
      <c r="AF36" s="79"/>
      <c r="AG36" s="77"/>
      <c r="AH36" s="77"/>
      <c r="AI36" s="77"/>
    </row>
    <row r="37" spans="1:35" ht="15.75" customHeight="1" x14ac:dyDescent="0.25">
      <c r="A37" s="70"/>
      <c r="B37" s="74"/>
      <c r="C37" s="70"/>
      <c r="D37" s="70"/>
      <c r="E37" s="77"/>
      <c r="F37" s="169"/>
      <c r="G37" s="81" t="s">
        <v>61</v>
      </c>
      <c r="H37" s="77"/>
      <c r="I37" s="70"/>
      <c r="J37" s="70"/>
      <c r="K37" s="77"/>
      <c r="L37" s="70"/>
      <c r="M37" s="70"/>
      <c r="N37" s="70"/>
      <c r="O37" s="70"/>
      <c r="P37" s="77"/>
      <c r="Q37" s="77"/>
      <c r="R37" s="77"/>
      <c r="S37" s="70"/>
      <c r="T37" s="70"/>
      <c r="U37" s="70"/>
      <c r="V37" s="70"/>
      <c r="W37" s="70"/>
      <c r="X37" s="70"/>
      <c r="Y37" s="70"/>
      <c r="Z37" s="70"/>
      <c r="AA37" s="81" t="s">
        <v>42</v>
      </c>
      <c r="AB37" s="169"/>
      <c r="AC37" s="70"/>
      <c r="AD37" s="70"/>
      <c r="AE37" s="77"/>
      <c r="AF37" s="75"/>
      <c r="AG37" s="70"/>
      <c r="AH37" s="77"/>
      <c r="AI37" s="77"/>
    </row>
    <row r="38" spans="1:35" ht="15.75" customHeight="1" x14ac:dyDescent="0.25">
      <c r="A38" s="70"/>
      <c r="B38" s="74"/>
      <c r="C38" s="175" t="s">
        <v>123</v>
      </c>
      <c r="D38" s="81" t="str">
        <f t="array" ref="D38">INDEX(_Listor!$BY$3:$BZ$18,MATCH("M84",_Listor!$BX$3:$BX$18,0),1)</f>
        <v>Spanien</v>
      </c>
      <c r="E38" s="77"/>
      <c r="F38" s="77"/>
      <c r="G38" s="77"/>
      <c r="H38" s="77"/>
      <c r="I38" s="77"/>
      <c r="J38" s="77"/>
      <c r="K38" s="77"/>
      <c r="L38" s="77"/>
      <c r="M38" s="77"/>
      <c r="N38" s="77"/>
      <c r="O38" s="77"/>
      <c r="P38" s="77"/>
      <c r="Q38" s="77" t="s">
        <v>124</v>
      </c>
      <c r="R38" s="77"/>
      <c r="S38" s="77"/>
      <c r="T38" s="77"/>
      <c r="U38" s="77"/>
      <c r="V38" s="77"/>
      <c r="W38" s="77"/>
      <c r="X38" s="77"/>
      <c r="Y38" s="77"/>
      <c r="Z38" s="77"/>
      <c r="AA38" s="77"/>
      <c r="AB38" s="77"/>
      <c r="AC38" s="77"/>
      <c r="AD38" s="81" t="str">
        <f t="array" ref="AD38">INDEX(_Listor!$BY$3:$BZ$18,MATCH("M88",_Listor!$BX$3:$BX$18,0),1)</f>
        <v>USA</v>
      </c>
      <c r="AE38" s="175" t="s">
        <v>125</v>
      </c>
      <c r="AF38" s="75"/>
      <c r="AG38" s="82"/>
      <c r="AH38" s="77"/>
      <c r="AI38" s="77"/>
    </row>
    <row r="39" spans="1:35" ht="15.75" customHeight="1" x14ac:dyDescent="0.25">
      <c r="A39" s="70"/>
      <c r="B39" s="74"/>
      <c r="C39" s="169"/>
      <c r="D39" s="77"/>
      <c r="E39" s="77"/>
      <c r="F39" s="77"/>
      <c r="G39" s="77"/>
      <c r="H39" s="77"/>
      <c r="I39" s="77"/>
      <c r="J39" s="77"/>
      <c r="K39" s="77"/>
      <c r="L39" s="77"/>
      <c r="M39" s="77"/>
      <c r="N39" s="77"/>
      <c r="O39" s="77"/>
      <c r="P39" s="77"/>
      <c r="Q39" s="81" t="s">
        <v>82</v>
      </c>
      <c r="R39" s="77"/>
      <c r="S39" s="77"/>
      <c r="T39" s="77"/>
      <c r="U39" s="77"/>
      <c r="V39" s="77"/>
      <c r="W39" s="77"/>
      <c r="X39" s="70"/>
      <c r="Y39" s="70"/>
      <c r="Z39" s="70"/>
      <c r="AA39" s="77"/>
      <c r="AB39" s="77"/>
      <c r="AC39" s="77"/>
      <c r="AD39" s="70"/>
      <c r="AE39" s="169"/>
      <c r="AF39" s="75"/>
      <c r="AG39" s="82"/>
      <c r="AH39" s="77"/>
      <c r="AI39" s="77"/>
    </row>
    <row r="40" spans="1:35" ht="15.75" customHeight="1" x14ac:dyDescent="0.25">
      <c r="A40" s="70"/>
      <c r="B40" s="74"/>
      <c r="C40" s="169"/>
      <c r="D40" s="81" t="str">
        <f t="array" ref="D40">INDEX(_Listor!$BY$3:$BZ$18,MATCH("M84",_Listor!$BX$3:$BX$18,0),2)</f>
        <v>Österrike</v>
      </c>
      <c r="E40" s="77"/>
      <c r="F40" s="77"/>
      <c r="G40" s="77"/>
      <c r="H40" s="77"/>
      <c r="I40" s="70"/>
      <c r="J40" s="77"/>
      <c r="K40" s="77"/>
      <c r="L40" s="77"/>
      <c r="M40" s="77"/>
      <c r="N40" s="77"/>
      <c r="O40" s="77"/>
      <c r="P40" s="70"/>
      <c r="Q40" s="70"/>
      <c r="R40" s="70"/>
      <c r="S40" s="77"/>
      <c r="T40" s="77"/>
      <c r="U40" s="77"/>
      <c r="V40" s="77"/>
      <c r="W40" s="77"/>
      <c r="X40" s="70"/>
      <c r="Y40" s="77"/>
      <c r="Z40" s="70"/>
      <c r="AA40" s="77"/>
      <c r="AB40" s="77"/>
      <c r="AC40" s="77"/>
      <c r="AD40" s="81" t="str">
        <f t="array" ref="AD40">INDEX(_Listor!$BY$3:$BZ$18,MATCH("M88",_Listor!$BX$3:$BX$18,0),2)</f>
        <v>Egypten</v>
      </c>
      <c r="AE40" s="169"/>
      <c r="AF40" s="75"/>
      <c r="AG40" s="82"/>
      <c r="AH40" s="77"/>
      <c r="AI40" s="77"/>
    </row>
    <row r="41" spans="1:35" ht="15.75" customHeight="1" x14ac:dyDescent="0.25">
      <c r="A41" s="70"/>
      <c r="B41" s="76"/>
      <c r="C41" s="77"/>
      <c r="D41" s="77"/>
      <c r="E41" s="77"/>
      <c r="F41" s="77"/>
      <c r="G41" s="77"/>
      <c r="H41" s="77"/>
      <c r="I41" s="175" t="s">
        <v>126</v>
      </c>
      <c r="J41" s="81" t="s">
        <v>82</v>
      </c>
      <c r="K41" s="77"/>
      <c r="L41" s="77"/>
      <c r="M41" s="77"/>
      <c r="N41" s="77"/>
      <c r="O41" s="77"/>
      <c r="P41" s="70"/>
      <c r="Q41" s="70"/>
      <c r="R41" s="70"/>
      <c r="S41" s="77"/>
      <c r="T41" s="77"/>
      <c r="U41" s="77"/>
      <c r="V41" s="77"/>
      <c r="W41" s="77"/>
      <c r="X41" s="81" t="s">
        <v>71</v>
      </c>
      <c r="Y41" s="175" t="s">
        <v>127</v>
      </c>
      <c r="Z41" s="70"/>
      <c r="AA41" s="77"/>
      <c r="AB41" s="77"/>
      <c r="AC41" s="77"/>
      <c r="AD41" s="77"/>
      <c r="AE41" s="77"/>
      <c r="AF41" s="79"/>
      <c r="AG41" s="77"/>
      <c r="AH41" s="77"/>
      <c r="AI41" s="77"/>
    </row>
    <row r="42" spans="1:35" ht="15.75" customHeight="1" x14ac:dyDescent="0.25">
      <c r="A42" s="70"/>
      <c r="B42" s="76"/>
      <c r="C42" s="77"/>
      <c r="D42" s="77"/>
      <c r="E42" s="77"/>
      <c r="F42" s="77"/>
      <c r="G42" s="77"/>
      <c r="H42" s="77"/>
      <c r="I42" s="169"/>
      <c r="J42" s="77"/>
      <c r="K42" s="77"/>
      <c r="L42" s="77"/>
      <c r="M42" s="77"/>
      <c r="N42" s="77"/>
      <c r="O42" s="77"/>
      <c r="P42" s="77"/>
      <c r="Q42" s="77"/>
      <c r="R42" s="77"/>
      <c r="S42" s="77"/>
      <c r="T42" s="77"/>
      <c r="U42" s="77"/>
      <c r="V42" s="77"/>
      <c r="W42" s="77"/>
      <c r="X42" s="77"/>
      <c r="Y42" s="169"/>
      <c r="Z42" s="70"/>
      <c r="AA42" s="77"/>
      <c r="AB42" s="77"/>
      <c r="AC42" s="77"/>
      <c r="AD42" s="77"/>
      <c r="AE42" s="77"/>
      <c r="AF42" s="79"/>
      <c r="AG42" s="77"/>
      <c r="AH42" s="77"/>
      <c r="AI42" s="77"/>
    </row>
    <row r="43" spans="1:35" ht="15.75" customHeight="1" x14ac:dyDescent="0.25">
      <c r="A43" s="70"/>
      <c r="B43" s="74"/>
      <c r="C43" s="70"/>
      <c r="D43" s="77"/>
      <c r="E43" s="77"/>
      <c r="F43" s="77"/>
      <c r="G43" s="77"/>
      <c r="H43" s="77"/>
      <c r="I43" s="169"/>
      <c r="J43" s="81" t="s">
        <v>56</v>
      </c>
      <c r="K43" s="77"/>
      <c r="L43" s="77"/>
      <c r="M43" s="77"/>
      <c r="N43" s="77"/>
      <c r="O43" s="77"/>
      <c r="P43" s="77"/>
      <c r="Q43" s="77"/>
      <c r="R43" s="77"/>
      <c r="S43" s="77"/>
      <c r="T43" s="77"/>
      <c r="U43" s="77"/>
      <c r="V43" s="77"/>
      <c r="W43" s="77"/>
      <c r="X43" s="81" t="s">
        <v>31</v>
      </c>
      <c r="Y43" s="169"/>
      <c r="Z43" s="70"/>
      <c r="AA43" s="77"/>
      <c r="AB43" s="77"/>
      <c r="AC43" s="77"/>
      <c r="AD43" s="77"/>
      <c r="AE43" s="77"/>
      <c r="AF43" s="75"/>
      <c r="AG43" s="70"/>
      <c r="AH43" s="77"/>
      <c r="AI43" s="77"/>
    </row>
    <row r="44" spans="1:35" ht="15.75" customHeight="1" x14ac:dyDescent="0.25">
      <c r="A44" s="70"/>
      <c r="B44" s="74"/>
      <c r="C44" s="175" t="s">
        <v>128</v>
      </c>
      <c r="D44" s="81" t="str">
        <f t="array" ref="D44">INDEX(_Listor!$BY$3:$BZ$18,MATCH("M81",_Listor!$BX$3:$BX$18,0),1)</f>
        <v>Turkiet</v>
      </c>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81" t="str">
        <f t="array" ref="AD44">INDEX(_Listor!$BY$3:$BZ$18,MATCH("M85",_Listor!$BX$3:$BX$18,0),1)</f>
        <v>Schweiz</v>
      </c>
      <c r="AE44" s="175" t="s">
        <v>129</v>
      </c>
      <c r="AF44" s="75"/>
      <c r="AG44" s="82"/>
      <c r="AH44" s="77"/>
      <c r="AI44" s="77"/>
    </row>
    <row r="45" spans="1:35" ht="15.75" customHeight="1" x14ac:dyDescent="0.25">
      <c r="A45" s="70"/>
      <c r="B45" s="74"/>
      <c r="C45" s="169"/>
      <c r="D45" s="77"/>
      <c r="E45" s="77"/>
      <c r="F45" s="70"/>
      <c r="G45" s="77"/>
      <c r="H45" s="77"/>
      <c r="I45" s="77"/>
      <c r="J45" s="77"/>
      <c r="K45" s="77"/>
      <c r="L45" s="77"/>
      <c r="M45" s="77"/>
      <c r="N45" s="77"/>
      <c r="O45" s="77"/>
      <c r="P45" s="77"/>
      <c r="Q45" s="77"/>
      <c r="R45" s="77"/>
      <c r="S45" s="77"/>
      <c r="T45" s="77"/>
      <c r="U45" s="77"/>
      <c r="V45" s="77"/>
      <c r="W45" s="77"/>
      <c r="X45" s="77"/>
      <c r="Y45" s="77"/>
      <c r="Z45" s="77"/>
      <c r="AA45" s="77"/>
      <c r="AB45" s="77"/>
      <c r="AC45" s="77"/>
      <c r="AD45" s="70"/>
      <c r="AE45" s="169"/>
      <c r="AF45" s="75"/>
      <c r="AG45" s="82"/>
      <c r="AH45" s="77"/>
      <c r="AI45" s="77"/>
    </row>
    <row r="46" spans="1:35" ht="15.75" customHeight="1" x14ac:dyDescent="0.25">
      <c r="A46" s="70"/>
      <c r="B46" s="74"/>
      <c r="C46" s="169"/>
      <c r="D46" s="83" t="str">
        <f t="array" ref="D46">INDEX(_Listor!$BY$3:$BZ$18,MATCH("M81",_Listor!$BX$3:$BX$18,0),2)</f>
        <v>Kanada</v>
      </c>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83" t="str">
        <f t="array" ref="AD46">INDEX(_Listor!$BY$3:$BZ$18,MATCH("M85",_Listor!$BX$3:$BX$18,0),2)</f>
        <v>Elfenbenskusten</v>
      </c>
      <c r="AE46" s="169"/>
      <c r="AF46" s="75"/>
      <c r="AG46" s="82"/>
      <c r="AH46" s="77"/>
      <c r="AI46" s="77"/>
    </row>
    <row r="47" spans="1:35" ht="15.75" customHeight="1" x14ac:dyDescent="0.25">
      <c r="A47" s="70"/>
      <c r="B47" s="74"/>
      <c r="C47" s="70"/>
      <c r="D47" s="77"/>
      <c r="E47" s="77"/>
      <c r="F47" s="175" t="s">
        <v>130</v>
      </c>
      <c r="G47" s="81" t="s">
        <v>41</v>
      </c>
      <c r="H47" s="77"/>
      <c r="I47" s="77"/>
      <c r="J47" s="77"/>
      <c r="K47" s="77"/>
      <c r="L47" s="77"/>
      <c r="M47" s="77"/>
      <c r="N47" s="77"/>
      <c r="O47" s="77"/>
      <c r="P47" s="77"/>
      <c r="Q47" s="77"/>
      <c r="R47" s="77"/>
      <c r="S47" s="77"/>
      <c r="T47" s="77"/>
      <c r="U47" s="77"/>
      <c r="V47" s="77"/>
      <c r="W47" s="77"/>
      <c r="X47" s="77"/>
      <c r="Y47" s="77"/>
      <c r="Z47" s="77"/>
      <c r="AA47" s="81" t="s">
        <v>31</v>
      </c>
      <c r="AB47" s="175" t="s">
        <v>131</v>
      </c>
      <c r="AC47" s="70"/>
      <c r="AD47" s="77"/>
      <c r="AE47" s="70"/>
      <c r="AF47" s="75"/>
      <c r="AG47" s="70"/>
      <c r="AH47" s="77"/>
      <c r="AI47" s="77"/>
    </row>
    <row r="48" spans="1:35" ht="15.75" customHeight="1" x14ac:dyDescent="0.25">
      <c r="A48" s="70"/>
      <c r="B48" s="74"/>
      <c r="C48" s="70"/>
      <c r="D48" s="77"/>
      <c r="E48" s="77"/>
      <c r="F48" s="169"/>
      <c r="G48" s="77"/>
      <c r="H48" s="77"/>
      <c r="I48" s="77"/>
      <c r="J48" s="77"/>
      <c r="K48" s="77"/>
      <c r="L48" s="77"/>
      <c r="M48" s="77"/>
      <c r="N48" s="77"/>
      <c r="O48" s="77"/>
      <c r="P48" s="77"/>
      <c r="Q48" s="77"/>
      <c r="R48" s="77"/>
      <c r="S48" s="77"/>
      <c r="T48" s="77"/>
      <c r="U48" s="77"/>
      <c r="V48" s="77"/>
      <c r="W48" s="77"/>
      <c r="X48" s="77"/>
      <c r="Y48" s="77"/>
      <c r="Z48" s="77"/>
      <c r="AA48" s="77"/>
      <c r="AB48" s="169"/>
      <c r="AC48" s="70"/>
      <c r="AD48" s="77"/>
      <c r="AE48" s="70"/>
      <c r="AF48" s="79"/>
      <c r="AG48" s="77"/>
      <c r="AH48" s="77"/>
      <c r="AI48" s="77"/>
    </row>
    <row r="49" spans="1:35" ht="15.75" customHeight="1" x14ac:dyDescent="0.25">
      <c r="A49" s="70"/>
      <c r="B49" s="76"/>
      <c r="C49" s="77"/>
      <c r="D49" s="77"/>
      <c r="E49" s="77"/>
      <c r="F49" s="169"/>
      <c r="G49" s="81" t="s">
        <v>56</v>
      </c>
      <c r="H49" s="77"/>
      <c r="I49" s="77"/>
      <c r="J49" s="77"/>
      <c r="K49" s="77"/>
      <c r="L49" s="77"/>
      <c r="M49" s="77"/>
      <c r="N49" s="77"/>
      <c r="O49" s="77"/>
      <c r="P49" s="77"/>
      <c r="Q49" s="77"/>
      <c r="R49" s="77"/>
      <c r="S49" s="77"/>
      <c r="T49" s="77"/>
      <c r="U49" s="77"/>
      <c r="V49" s="77"/>
      <c r="W49" s="77"/>
      <c r="X49" s="77"/>
      <c r="Y49" s="77"/>
      <c r="Z49" s="77"/>
      <c r="AA49" s="81" t="s">
        <v>76</v>
      </c>
      <c r="AB49" s="169"/>
      <c r="AC49" s="70"/>
      <c r="AD49" s="77"/>
      <c r="AE49" s="70"/>
      <c r="AF49" s="79"/>
      <c r="AG49" s="77"/>
      <c r="AH49" s="77"/>
      <c r="AI49" s="77"/>
    </row>
    <row r="50" spans="1:35" ht="15.75" customHeight="1" x14ac:dyDescent="0.25">
      <c r="A50" s="70"/>
      <c r="B50" s="74"/>
      <c r="C50" s="175" t="s">
        <v>132</v>
      </c>
      <c r="D50" s="81" t="str">
        <f t="array" ref="D50">INDEX(_Listor!$BY$3:$BZ$18,MATCH("M82",_Listor!$BX$3:$BX$18,0),1)</f>
        <v>Belgien</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81" t="str">
        <f t="array" ref="AD50">INDEX(_Listor!$BY$3:$BZ$18,MATCH("M87",_Listor!$BX$3:$BX$18,0),1)</f>
        <v>Portugal</v>
      </c>
      <c r="AE50" s="175" t="s">
        <v>133</v>
      </c>
      <c r="AF50" s="75"/>
      <c r="AG50" s="82"/>
      <c r="AH50" s="77"/>
      <c r="AI50" s="77"/>
    </row>
    <row r="51" spans="1:35" ht="15.75" customHeight="1" x14ac:dyDescent="0.25">
      <c r="A51" s="70"/>
      <c r="B51" s="74"/>
      <c r="C51" s="169"/>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0"/>
      <c r="AE51" s="169"/>
      <c r="AF51" s="75"/>
      <c r="AG51" s="82"/>
      <c r="AH51" s="77"/>
      <c r="AI51" s="77"/>
    </row>
    <row r="52" spans="1:35" ht="15.75" customHeight="1" x14ac:dyDescent="0.25">
      <c r="A52" s="70"/>
      <c r="B52" s="74"/>
      <c r="C52" s="169"/>
      <c r="D52" s="83" t="str">
        <f t="array" ref="D52">INDEX(_Listor!$BY$3:$BZ$18,MATCH("M82",_Listor!$BX$3:$BX$18,0),2)</f>
        <v>Tjeckien</v>
      </c>
      <c r="E52" s="77"/>
      <c r="F52" s="77"/>
      <c r="G52" s="77"/>
      <c r="H52" s="48"/>
      <c r="I52" s="77"/>
      <c r="J52" s="77"/>
      <c r="K52" s="77"/>
      <c r="L52" s="77"/>
      <c r="M52" s="77"/>
      <c r="N52" s="77"/>
      <c r="O52" s="77"/>
      <c r="P52" s="77"/>
      <c r="Q52" s="77"/>
      <c r="R52" s="77"/>
      <c r="S52" s="77"/>
      <c r="T52" s="77"/>
      <c r="U52" s="77"/>
      <c r="V52" s="77"/>
      <c r="W52" s="77"/>
      <c r="X52" s="77"/>
      <c r="Y52" s="77"/>
      <c r="Z52" s="77"/>
      <c r="AA52" s="77"/>
      <c r="AB52" s="77"/>
      <c r="AC52" s="77"/>
      <c r="AD52" s="83" t="str">
        <f t="array" ref="AD52">INDEX(_Listor!$BY$3:$BZ$18,MATCH("M87",_Listor!$BX$3:$BX$18,0),2)</f>
        <v>Senegal</v>
      </c>
      <c r="AE52" s="169"/>
      <c r="AF52" s="75"/>
      <c r="AG52" s="82"/>
      <c r="AH52" s="77"/>
      <c r="AI52" s="77"/>
    </row>
    <row r="53" spans="1:35" ht="15.75" customHeight="1" x14ac:dyDescent="0.25">
      <c r="A53" s="70"/>
      <c r="B53" s="86"/>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8"/>
      <c r="AG53" s="77"/>
      <c r="AH53" s="77"/>
      <c r="AI53" s="77"/>
    </row>
    <row r="54" spans="1:35" ht="15.75" customHeight="1" x14ac:dyDescent="0.25">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row>
    <row r="55" spans="1:35" ht="15.75" customHeight="1" x14ac:dyDescent="0.2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row>
    <row r="56" spans="1:35" ht="15.75" customHeight="1" x14ac:dyDescent="0.25">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row>
    <row r="57" spans="1:35" ht="15.75" customHeight="1" x14ac:dyDescent="0.25">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row>
    <row r="58" spans="1:35" ht="15.75" customHeight="1" x14ac:dyDescent="0.25">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row>
    <row r="59" spans="1:35" ht="15.75" customHeight="1" x14ac:dyDescent="0.25">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row>
    <row r="60" spans="1:35" ht="15.75" customHeight="1" x14ac:dyDescent="0.25">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row>
    <row r="61" spans="1:35" ht="15.75" customHeight="1" x14ac:dyDescent="0.25">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row>
    <row r="62" spans="1:35" ht="15.75" customHeight="1" x14ac:dyDescent="0.25">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row>
    <row r="63" spans="1:35" ht="15.75" customHeight="1" x14ac:dyDescent="0.25">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row>
    <row r="64" spans="1:35" ht="15.75" customHeight="1" x14ac:dyDescent="0.25">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row>
    <row r="65" spans="1:35" ht="15.75" customHeight="1" x14ac:dyDescent="0.2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row>
    <row r="66" spans="1:35" ht="15.75" customHeight="1" x14ac:dyDescent="0.25">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row>
    <row r="67" spans="1:35" ht="15.75" customHeight="1" x14ac:dyDescent="0.25">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row>
    <row r="68" spans="1:35" ht="15.75" customHeight="1" x14ac:dyDescent="0.25">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row>
    <row r="69" spans="1:35" ht="15.75" customHeight="1" x14ac:dyDescent="0.25">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row>
    <row r="70" spans="1:35" ht="15.75" customHeight="1" x14ac:dyDescent="0.25">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row>
    <row r="71" spans="1:35" ht="15.75" customHeight="1" x14ac:dyDescent="0.25">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row>
    <row r="72" spans="1:35" ht="15.75" customHeight="1" x14ac:dyDescent="0.25">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row>
    <row r="73" spans="1:35" ht="15.75" customHeight="1" x14ac:dyDescent="0.25">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row>
    <row r="74" spans="1:35" ht="15.75" customHeight="1" x14ac:dyDescent="0.25">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row>
    <row r="75" spans="1:35" ht="15.75" customHeight="1" x14ac:dyDescent="0.2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row>
    <row r="76" spans="1:35" ht="15.75" customHeight="1" x14ac:dyDescent="0.25">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row>
    <row r="77" spans="1:35" ht="15.75" customHeight="1" x14ac:dyDescent="0.25">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row>
    <row r="78" spans="1:35" ht="15.75" customHeight="1" x14ac:dyDescent="0.25">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row>
    <row r="79" spans="1:35" ht="15.75" customHeight="1" x14ac:dyDescent="0.25">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row>
    <row r="80" spans="1:35" ht="15.75" customHeight="1" x14ac:dyDescent="0.25">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row>
    <row r="81" spans="1:35" ht="15.75" customHeight="1" x14ac:dyDescent="0.25">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row>
    <row r="82" spans="1:35" ht="15.75" customHeight="1" x14ac:dyDescent="0.25">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row>
    <row r="83" spans="1:35" ht="15.75" customHeight="1" x14ac:dyDescent="0.25">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row>
    <row r="84" spans="1:35" ht="15.75" customHeight="1" x14ac:dyDescent="0.25">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row>
    <row r="85" spans="1:35" ht="15.75" customHeight="1" x14ac:dyDescent="0.2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row>
    <row r="86" spans="1:35" ht="15.75" customHeight="1" x14ac:dyDescent="0.25">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row>
    <row r="87" spans="1:35" ht="15.75" customHeight="1" x14ac:dyDescent="0.25">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row>
    <row r="88" spans="1:35" ht="15.75" customHeight="1" x14ac:dyDescent="0.25">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row>
    <row r="89" spans="1:35" ht="15.75" customHeight="1" x14ac:dyDescent="0.25">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row>
    <row r="90" spans="1:35" ht="15.75" customHeight="1" x14ac:dyDescent="0.25">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row>
    <row r="91" spans="1:35" ht="15.75" customHeight="1" x14ac:dyDescent="0.25">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row>
    <row r="92" spans="1:35" ht="15.75" customHeight="1" x14ac:dyDescent="0.25">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row>
    <row r="93" spans="1:35" ht="15.75" customHeight="1" x14ac:dyDescent="0.25">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row>
    <row r="94" spans="1:35" ht="15.75" customHeight="1" x14ac:dyDescent="0.25">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row>
    <row r="95" spans="1:35" ht="15.75" customHeight="1" x14ac:dyDescent="0.2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row>
    <row r="96" spans="1:35" ht="15.75" customHeight="1" x14ac:dyDescent="0.25">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row>
    <row r="97" spans="1:35" ht="15.75" customHeight="1" x14ac:dyDescent="0.25">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row>
    <row r="98" spans="1:35" ht="15.75" customHeight="1" x14ac:dyDescent="0.25">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row>
    <row r="99" spans="1:35" ht="15.75" customHeight="1" x14ac:dyDescent="0.25">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row>
    <row r="100" spans="1:35" ht="15.75" customHeight="1" x14ac:dyDescent="0.25">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row>
    <row r="101" spans="1:35" ht="15.75" customHeight="1" x14ac:dyDescent="0.25">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row>
    <row r="102" spans="1:35" ht="15.75" customHeight="1" x14ac:dyDescent="0.25">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row>
    <row r="103" spans="1:35" ht="15.75" customHeight="1" x14ac:dyDescent="0.25">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row>
    <row r="104" spans="1:35" ht="15.75" customHeight="1" x14ac:dyDescent="0.25">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row>
    <row r="105" spans="1:35" ht="15.75" customHeight="1" x14ac:dyDescent="0.2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row>
    <row r="106" spans="1:35" ht="15.75" customHeight="1" x14ac:dyDescent="0.25">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row>
    <row r="107" spans="1:35" ht="15.75" customHeight="1" x14ac:dyDescent="0.25">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row>
    <row r="108" spans="1:35" ht="15.75" customHeight="1" x14ac:dyDescent="0.25">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row>
    <row r="109" spans="1:35" ht="15.75" customHeight="1" x14ac:dyDescent="0.25">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row>
    <row r="110" spans="1:35" ht="15.75" customHeight="1" x14ac:dyDescent="0.25">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row>
    <row r="111" spans="1:35" ht="15.75" customHeight="1" x14ac:dyDescent="0.25">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row>
    <row r="112" spans="1:35" ht="15.75" customHeight="1" x14ac:dyDescent="0.25">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c r="AF112" s="70"/>
      <c r="AG112" s="70"/>
      <c r="AH112" s="70"/>
      <c r="AI112" s="70"/>
    </row>
    <row r="113" spans="1:35" ht="15.75" customHeight="1" x14ac:dyDescent="0.25">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row>
    <row r="114" spans="1:35" ht="15.75" customHeight="1" x14ac:dyDescent="0.25">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row>
    <row r="115" spans="1:35" ht="15.75" customHeight="1" x14ac:dyDescent="0.2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row>
    <row r="116" spans="1:35" ht="15.75" customHeight="1" x14ac:dyDescent="0.25">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row>
    <row r="117" spans="1:35" ht="15.75" customHeight="1" x14ac:dyDescent="0.25">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row>
    <row r="118" spans="1:35" ht="15.75" customHeight="1" x14ac:dyDescent="0.25">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row>
    <row r="119" spans="1:35" ht="15.75" customHeight="1" x14ac:dyDescent="0.25">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row>
    <row r="120" spans="1:35" ht="15.75" customHeight="1" x14ac:dyDescent="0.25">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row>
    <row r="121" spans="1:35" ht="15.75" customHeight="1" x14ac:dyDescent="0.25">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row>
    <row r="122" spans="1:35" ht="15.75" customHeight="1" x14ac:dyDescent="0.25">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row>
    <row r="123" spans="1:35" ht="15.75" customHeight="1" x14ac:dyDescent="0.25">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row>
    <row r="124" spans="1:35" ht="15.75" customHeight="1" x14ac:dyDescent="0.25">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row>
    <row r="125" spans="1:35" ht="15.75" customHeight="1" x14ac:dyDescent="0.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row>
    <row r="126" spans="1:35" ht="15.75" customHeight="1" x14ac:dyDescent="0.25">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row>
    <row r="127" spans="1:35" ht="15.75" customHeight="1" x14ac:dyDescent="0.25">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row>
    <row r="128" spans="1:35" ht="15.75" customHeight="1" x14ac:dyDescent="0.25">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row>
    <row r="129" spans="1:35" ht="15.75" customHeight="1" x14ac:dyDescent="0.25">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row>
    <row r="130" spans="1:35" ht="15.75" customHeight="1" x14ac:dyDescent="0.25">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c r="AF130" s="70"/>
      <c r="AG130" s="70"/>
      <c r="AH130" s="70"/>
      <c r="AI130" s="70"/>
    </row>
    <row r="131" spans="1:35" ht="15.75" customHeight="1" x14ac:dyDescent="0.25">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70"/>
      <c r="AF131" s="70"/>
      <c r="AG131" s="70"/>
      <c r="AH131" s="70"/>
      <c r="AI131" s="70"/>
    </row>
    <row r="132" spans="1:35" ht="15.75" customHeight="1" x14ac:dyDescent="0.25">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row>
    <row r="133" spans="1:35" ht="15.75" customHeight="1" x14ac:dyDescent="0.25">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70"/>
      <c r="AF133" s="70"/>
      <c r="AG133" s="70"/>
      <c r="AH133" s="70"/>
      <c r="AI133" s="70"/>
    </row>
    <row r="134" spans="1:35" ht="15.75" customHeight="1" x14ac:dyDescent="0.25">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row>
    <row r="135" spans="1:35" ht="15.75" customHeight="1" x14ac:dyDescent="0.2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row>
    <row r="136" spans="1:35" ht="15.75" customHeight="1" x14ac:dyDescent="0.25">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row>
    <row r="137" spans="1:35" ht="15.75" customHeight="1" x14ac:dyDescent="0.25">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row>
    <row r="138" spans="1:35" ht="15.75" customHeight="1" x14ac:dyDescent="0.25">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row>
    <row r="139" spans="1:35" ht="15.75" customHeight="1" x14ac:dyDescent="0.25">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row>
    <row r="140" spans="1:35" ht="15.75" customHeight="1" x14ac:dyDescent="0.25">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row>
    <row r="141" spans="1:35" ht="15.75" customHeight="1" x14ac:dyDescent="0.25">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row>
    <row r="142" spans="1:35" ht="15.75" customHeight="1" x14ac:dyDescent="0.25">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row>
    <row r="143" spans="1:35" ht="15.75" customHeight="1" x14ac:dyDescent="0.25">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row>
    <row r="144" spans="1:35" ht="15.75" customHeight="1" x14ac:dyDescent="0.25">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row>
    <row r="145" spans="1:35" ht="15.75" customHeight="1" x14ac:dyDescent="0.2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row>
    <row r="146" spans="1:35" ht="15.75" customHeight="1" x14ac:dyDescent="0.25">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row>
    <row r="147" spans="1:35" ht="15.75" customHeight="1" x14ac:dyDescent="0.25">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row>
    <row r="148" spans="1:35" ht="15.75" customHeight="1" x14ac:dyDescent="0.25">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row>
    <row r="149" spans="1:35" ht="15.75" customHeight="1" x14ac:dyDescent="0.25">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row>
    <row r="150" spans="1:35" ht="15.75" customHeight="1" x14ac:dyDescent="0.25">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row>
    <row r="151" spans="1:35" ht="15.75" customHeight="1" x14ac:dyDescent="0.25">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row>
    <row r="152" spans="1:35" ht="15.75" customHeight="1" x14ac:dyDescent="0.25">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row>
    <row r="153" spans="1:35" ht="15.75" customHeight="1" x14ac:dyDescent="0.25">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row>
    <row r="154" spans="1:35" ht="15.75" customHeight="1" x14ac:dyDescent="0.25">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row>
    <row r="155" spans="1:35" ht="15.75" customHeight="1" x14ac:dyDescent="0.2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row>
    <row r="156" spans="1:35" ht="15.75" customHeight="1" x14ac:dyDescent="0.25">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row>
    <row r="157" spans="1:35" ht="15.75" customHeight="1" x14ac:dyDescent="0.25">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row>
    <row r="158" spans="1:35" ht="15.75" customHeight="1" x14ac:dyDescent="0.25">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row>
    <row r="159" spans="1:35" ht="15.75" customHeight="1" x14ac:dyDescent="0.25">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row>
    <row r="160" spans="1:35" ht="15.75" customHeight="1" x14ac:dyDescent="0.25">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row>
    <row r="161" spans="1:35" ht="15.75" customHeight="1" x14ac:dyDescent="0.25">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row>
    <row r="162" spans="1:35" ht="15.75" customHeight="1" x14ac:dyDescent="0.25">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row>
    <row r="163" spans="1:35" ht="15.75" customHeight="1" x14ac:dyDescent="0.25">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row>
    <row r="164" spans="1:35" ht="15.75" customHeight="1" x14ac:dyDescent="0.25">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row>
    <row r="165" spans="1:35" ht="15.75" customHeight="1" x14ac:dyDescent="0.2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row>
    <row r="166" spans="1:35" ht="15.75" customHeight="1" x14ac:dyDescent="0.25">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row>
    <row r="167" spans="1:35" ht="15.75" customHeight="1" x14ac:dyDescent="0.25">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row>
    <row r="168" spans="1:35" ht="15.75" customHeight="1" x14ac:dyDescent="0.25">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row>
    <row r="169" spans="1:35" ht="15.75" customHeight="1" x14ac:dyDescent="0.25">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row>
    <row r="170" spans="1:35" ht="15.75" customHeight="1" x14ac:dyDescent="0.25">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row>
    <row r="171" spans="1:35" ht="15.75" customHeight="1" x14ac:dyDescent="0.25">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row>
    <row r="172" spans="1:35" ht="15.75" customHeight="1" x14ac:dyDescent="0.25">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row>
    <row r="173" spans="1:35" ht="15.75" customHeight="1" x14ac:dyDescent="0.25">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row>
    <row r="174" spans="1:35" ht="15.75" customHeight="1" x14ac:dyDescent="0.25">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row>
    <row r="175" spans="1:35" ht="15.75" customHeight="1" x14ac:dyDescent="0.2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row>
    <row r="176" spans="1:35" ht="15.75" customHeight="1" x14ac:dyDescent="0.25">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row>
    <row r="177" spans="1:35" ht="15.75" customHeight="1" x14ac:dyDescent="0.25">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row>
    <row r="178" spans="1:35" ht="15.75" customHeight="1" x14ac:dyDescent="0.25">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row>
    <row r="179" spans="1:35" ht="15.75" customHeight="1" x14ac:dyDescent="0.25">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row>
    <row r="180" spans="1:35" ht="15.75" customHeight="1" x14ac:dyDescent="0.25">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row>
    <row r="181" spans="1:35" ht="15.75" customHeight="1" x14ac:dyDescent="0.25">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row>
    <row r="182" spans="1:35" ht="15.75" customHeight="1" x14ac:dyDescent="0.25">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row>
    <row r="183" spans="1:35" ht="15.75" customHeight="1" x14ac:dyDescent="0.25">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row>
    <row r="184" spans="1:35" ht="15.75" customHeight="1" x14ac:dyDescent="0.25">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row>
    <row r="185" spans="1:35" ht="15.75" customHeight="1" x14ac:dyDescent="0.2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row>
    <row r="186" spans="1:35" ht="15.75" customHeight="1" x14ac:dyDescent="0.25">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row>
    <row r="187" spans="1:35" ht="15.75" customHeight="1" x14ac:dyDescent="0.25">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row>
    <row r="188" spans="1:35" ht="15.75" customHeight="1" x14ac:dyDescent="0.25">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row>
    <row r="189" spans="1:35" ht="15.75" customHeight="1" x14ac:dyDescent="0.25">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row>
    <row r="190" spans="1:35" ht="15.75" customHeight="1" x14ac:dyDescent="0.25">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row>
    <row r="191" spans="1:35" ht="15.75" customHeight="1" x14ac:dyDescent="0.25">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row>
    <row r="192" spans="1:35" ht="15.75" customHeight="1" x14ac:dyDescent="0.25">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row>
    <row r="193" spans="1:35" ht="15.75" customHeight="1" x14ac:dyDescent="0.25">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row>
    <row r="194" spans="1:35" ht="15.75" customHeight="1" x14ac:dyDescent="0.25">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row>
    <row r="195" spans="1:35" ht="15.75" customHeight="1" x14ac:dyDescent="0.2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row>
    <row r="196" spans="1:35" ht="15.75" customHeight="1" x14ac:dyDescent="0.25">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row>
    <row r="197" spans="1:35" ht="15.75" customHeight="1" x14ac:dyDescent="0.25">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row>
    <row r="198" spans="1:35" ht="15.75" customHeight="1" x14ac:dyDescent="0.25">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row>
    <row r="199" spans="1:35" ht="15.75" customHeight="1" x14ac:dyDescent="0.25">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row>
    <row r="200" spans="1:35" ht="15.75" customHeight="1" x14ac:dyDescent="0.25">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row>
    <row r="201" spans="1:35" ht="15.75" customHeight="1" x14ac:dyDescent="0.25">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row>
    <row r="202" spans="1:35" ht="15.75" customHeight="1" x14ac:dyDescent="0.25">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row>
    <row r="203" spans="1:35" ht="15.75" customHeight="1" x14ac:dyDescent="0.25">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row>
    <row r="204" spans="1:35" ht="15.75" customHeight="1" x14ac:dyDescent="0.25">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row>
    <row r="205" spans="1:35" ht="15.75" customHeight="1" x14ac:dyDescent="0.2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row>
    <row r="206" spans="1:35" ht="15.75" customHeight="1" x14ac:dyDescent="0.25">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row>
    <row r="207" spans="1:35" ht="15.75" customHeight="1" x14ac:dyDescent="0.25">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row>
    <row r="208" spans="1:35" ht="15.75" customHeight="1" x14ac:dyDescent="0.25">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row>
    <row r="209" spans="1:35" ht="15.75" customHeight="1" x14ac:dyDescent="0.25">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row>
    <row r="210" spans="1:35" ht="15.75" customHeight="1" x14ac:dyDescent="0.25">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row>
    <row r="211" spans="1:35" ht="15.75" customHeight="1" x14ac:dyDescent="0.25">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row>
    <row r="212" spans="1:35" ht="15.75" customHeight="1" x14ac:dyDescent="0.25">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row>
    <row r="213" spans="1:35" ht="15.75" customHeight="1" x14ac:dyDescent="0.25">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row>
    <row r="214" spans="1:35" ht="15.75" customHeight="1" x14ac:dyDescent="0.25">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row>
    <row r="215" spans="1:35" ht="15.75" customHeight="1" x14ac:dyDescent="0.2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row>
    <row r="216" spans="1:35" ht="15.75" customHeight="1" x14ac:dyDescent="0.25">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row>
    <row r="217" spans="1:35" ht="15.75" customHeight="1" x14ac:dyDescent="0.25">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row>
    <row r="218" spans="1:35" ht="15.75" customHeight="1" x14ac:dyDescent="0.25">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row>
    <row r="219" spans="1:35" ht="15.75" customHeight="1" x14ac:dyDescent="0.25">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row>
    <row r="220" spans="1:35" ht="15.75" customHeight="1" x14ac:dyDescent="0.25">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row>
    <row r="221" spans="1:35" ht="15.75" customHeight="1" x14ac:dyDescent="0.25">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row>
    <row r="222" spans="1:35" ht="15.75" customHeight="1" x14ac:dyDescent="0.25">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row>
    <row r="223" spans="1:35" ht="15.75" customHeight="1" x14ac:dyDescent="0.25">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row>
    <row r="224" spans="1:35" ht="15.75" customHeight="1" x14ac:dyDescent="0.25">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row>
    <row r="225" spans="1:35" ht="15.75" customHeight="1" x14ac:dyDescent="0.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row>
    <row r="226" spans="1:35" ht="15.75" customHeight="1" x14ac:dyDescent="0.25">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row>
    <row r="227" spans="1:35" ht="15.75" customHeight="1" x14ac:dyDescent="0.25">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row>
    <row r="228" spans="1:35" ht="15.75" customHeight="1" x14ac:dyDescent="0.25">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row>
    <row r="229" spans="1:35" ht="15.75" customHeight="1" x14ac:dyDescent="0.25">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row>
    <row r="230" spans="1:35" ht="15.75" customHeight="1" x14ac:dyDescent="0.25">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row>
    <row r="231" spans="1:35" ht="15.75" customHeight="1" x14ac:dyDescent="0.25">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row>
    <row r="232" spans="1:35" ht="15.75" customHeight="1" x14ac:dyDescent="0.25">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row>
    <row r="233" spans="1:35" ht="15.75" customHeight="1" x14ac:dyDescent="0.25">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row>
    <row r="234" spans="1:35" ht="15.75" customHeight="1" x14ac:dyDescent="0.25">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row>
    <row r="235" spans="1:35" ht="15.75" customHeight="1" x14ac:dyDescent="0.2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row>
    <row r="236" spans="1:35" ht="15.75" customHeight="1" x14ac:dyDescent="0.25">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row>
    <row r="237" spans="1:35" ht="15.75" customHeight="1" x14ac:dyDescent="0.25">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row>
    <row r="238" spans="1:35" ht="15.75" customHeight="1" x14ac:dyDescent="0.25">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row>
    <row r="239" spans="1:35" ht="15.75" customHeight="1" x14ac:dyDescent="0.25">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row>
    <row r="240" spans="1:35" ht="15.75" customHeight="1" x14ac:dyDescent="0.25">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row>
    <row r="241" spans="1:35" ht="15.75" customHeight="1" x14ac:dyDescent="0.25">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row>
    <row r="242" spans="1:35" ht="15.75" customHeight="1" x14ac:dyDescent="0.25">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row>
    <row r="243" spans="1:35" ht="15.75" customHeight="1" x14ac:dyDescent="0.25">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row>
    <row r="244" spans="1:35" ht="15.75" customHeight="1" x14ac:dyDescent="0.25">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row>
    <row r="245" spans="1:35" ht="15.75" customHeight="1" x14ac:dyDescent="0.2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row>
    <row r="246" spans="1:35" ht="15.75" customHeight="1" x14ac:dyDescent="0.25">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row>
    <row r="247" spans="1:35" ht="15.75" customHeight="1" x14ac:dyDescent="0.25">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row>
    <row r="248" spans="1:35" ht="15.75" customHeight="1" x14ac:dyDescent="0.25">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row>
    <row r="249" spans="1:35" ht="15.75" customHeight="1" x14ac:dyDescent="0.25">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row>
    <row r="250" spans="1:35" ht="15.75" customHeight="1" x14ac:dyDescent="0.25">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row>
    <row r="251" spans="1:35" ht="15.75" customHeight="1" x14ac:dyDescent="0.25">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row>
    <row r="252" spans="1:35" ht="15.75" customHeight="1" x14ac:dyDescent="0.25">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row>
    <row r="253" spans="1:35" ht="15.75" customHeight="1" x14ac:dyDescent="0.25"/>
    <row r="254" spans="1:35" ht="15.75" customHeight="1" x14ac:dyDescent="0.25"/>
    <row r="255" spans="1:35" ht="15.75" customHeight="1" x14ac:dyDescent="0.25"/>
    <row r="256" spans="1:35"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
    <mergeCell ref="F35:F37"/>
    <mergeCell ref="C38:C40"/>
    <mergeCell ref="I41:I43"/>
    <mergeCell ref="F47:F49"/>
    <mergeCell ref="C44:C46"/>
    <mergeCell ref="C50:C52"/>
    <mergeCell ref="C18:C20"/>
    <mergeCell ref="C24:C26"/>
    <mergeCell ref="C32:C34"/>
    <mergeCell ref="I13:K13"/>
    <mergeCell ref="W13:Y13"/>
    <mergeCell ref="I15:I17"/>
    <mergeCell ref="Y15:Y17"/>
    <mergeCell ref="F21:F23"/>
    <mergeCell ref="P23:R23"/>
    <mergeCell ref="AE38:AE40"/>
    <mergeCell ref="AE44:AE46"/>
    <mergeCell ref="AE50:AE52"/>
    <mergeCell ref="O3:S4"/>
    <mergeCell ref="C4:E4"/>
    <mergeCell ref="AC4:AE4"/>
    <mergeCell ref="C6:C8"/>
    <mergeCell ref="F7:H7"/>
    <mergeCell ref="F9:F11"/>
    <mergeCell ref="C12:C14"/>
    <mergeCell ref="L26:N26"/>
    <mergeCell ref="P26:R26"/>
    <mergeCell ref="T26:V26"/>
    <mergeCell ref="L28:L30"/>
    <mergeCell ref="V28:V30"/>
    <mergeCell ref="P34:R34"/>
    <mergeCell ref="AE6:AE8"/>
    <mergeCell ref="AE12:AE14"/>
    <mergeCell ref="AE18:AE20"/>
    <mergeCell ref="AE24:AE26"/>
    <mergeCell ref="AE32:AE34"/>
    <mergeCell ref="Z7:AB7"/>
    <mergeCell ref="AB9:AB11"/>
    <mergeCell ref="AB35:AB37"/>
    <mergeCell ref="Y41:Y43"/>
    <mergeCell ref="AB47:AB49"/>
    <mergeCell ref="AB21:AB23"/>
  </mergeCells>
  <conditionalFormatting sqref="P26:R26">
    <cfRule type="expression" dxfId="0" priority="1">
      <formula>COUNTA($P$21,$Q$19,$R$21,$P$36,$Q$39,$R$36)&lt;&gt;6</formula>
    </cfRule>
  </conditionalFormatting>
  <dataValidations count="34">
    <dataValidation type="list" allowBlank="1" sqref="X17" xr:uid="{00000000-0002-0000-0300-000000000000}">
      <formula1>$AA$21:$AA$23</formula1>
    </dataValidation>
    <dataValidation type="list" allowBlank="1" sqref="U30" xr:uid="{00000000-0002-0000-0300-000001000000}">
      <formula1>$X$41:$X$43</formula1>
    </dataValidation>
    <dataValidation type="list" allowBlank="1" sqref="G37" xr:uid="{00000000-0002-0000-0300-000002000000}">
      <formula1>$D$38:$D$40</formula1>
    </dataValidation>
    <dataValidation type="list" allowBlank="1" sqref="G35" xr:uid="{00000000-0002-0000-0300-000003000000}">
      <formula1>$D$32:$D$34</formula1>
    </dataValidation>
    <dataValidation type="list" allowBlank="1" sqref="G49" xr:uid="{00000000-0002-0000-0300-000004000000}">
      <formula1>$D$50:$D$52</formula1>
    </dataValidation>
    <dataValidation type="list" allowBlank="1" sqref="AA37" xr:uid="{00000000-0002-0000-0300-000005000000}">
      <formula1>$AD$38:$AD$40</formula1>
    </dataValidation>
    <dataValidation type="list" allowBlank="1" sqref="G21" xr:uid="{00000000-0002-0000-0300-000006000000}">
      <formula1>$D$18:$D$20</formula1>
    </dataValidation>
    <dataValidation type="list" allowBlank="1" showErrorMessage="1" sqref="Q39" xr:uid="{00000000-0002-0000-0300-000007000000}">
      <formula1>$P$36:$R$36</formula1>
    </dataValidation>
    <dataValidation type="list" allowBlank="1" sqref="J17" xr:uid="{00000000-0002-0000-0300-000008000000}">
      <formula1>$G$21:$G$23</formula1>
    </dataValidation>
    <dataValidation type="list" allowBlank="1" sqref="G9" xr:uid="{00000000-0002-0000-0300-000009000000}">
      <formula1>$D$6:$D$8</formula1>
    </dataValidation>
    <dataValidation type="list" allowBlank="1" showErrorMessage="1" sqref="P36" xr:uid="{00000000-0002-0000-0300-00000A000000}">
      <formula1>$M$28:$M$30</formula1>
    </dataValidation>
    <dataValidation type="list" allowBlank="1" sqref="X15" xr:uid="{00000000-0002-0000-0300-00000B000000}">
      <formula1>$AA$9:$AA$11</formula1>
    </dataValidation>
    <dataValidation type="list" allowBlank="1" sqref="P21" xr:uid="{00000000-0002-0000-0300-00000C000000}">
      <formula1>$M$28:$M$30</formula1>
    </dataValidation>
    <dataValidation type="list" allowBlank="1" sqref="X41" xr:uid="{00000000-0002-0000-0300-00000D000000}">
      <formula1>$AA$35:$AA$37</formula1>
    </dataValidation>
    <dataValidation type="list" allowBlank="1" sqref="AA21" xr:uid="{00000000-0002-0000-0300-00000E000000}">
      <formula1>$AD$18:$AD$20</formula1>
    </dataValidation>
    <dataValidation type="list" allowBlank="1" sqref="X43" xr:uid="{00000000-0002-0000-0300-00000F000000}">
      <formula1>$AA$47:$AA$49</formula1>
    </dataValidation>
    <dataValidation type="list" allowBlank="1" sqref="M28" xr:uid="{00000000-0002-0000-0300-000010000000}">
      <formula1>$J$15:$J$17</formula1>
    </dataValidation>
    <dataValidation type="list" allowBlank="1" sqref="G23" xr:uid="{00000000-0002-0000-0300-000011000000}">
      <formula1>$D$24:$D$26</formula1>
    </dataValidation>
    <dataValidation type="list" allowBlank="1" sqref="AA11" xr:uid="{00000000-0002-0000-0300-000012000000}">
      <formula1>$AD$12:$AD$14</formula1>
    </dataValidation>
    <dataValidation type="list" allowBlank="1" sqref="G47" xr:uid="{00000000-0002-0000-0300-000013000000}">
      <formula1>$D$44:$D$46</formula1>
    </dataValidation>
    <dataValidation type="list" allowBlank="1" sqref="AA23" xr:uid="{00000000-0002-0000-0300-000014000000}">
      <formula1>$AD$24:$AD$26</formula1>
    </dataValidation>
    <dataValidation type="list" allowBlank="1" sqref="J41" xr:uid="{00000000-0002-0000-0300-000015000000}">
      <formula1>$G$35:$G$37</formula1>
    </dataValidation>
    <dataValidation type="list" allowBlank="1" sqref="M30" xr:uid="{00000000-0002-0000-0300-000016000000}">
      <formula1>$J$41:$J$43</formula1>
    </dataValidation>
    <dataValidation type="list" allowBlank="1" sqref="J43" xr:uid="{00000000-0002-0000-0300-000017000000}">
      <formula1>$G$47:$G$49</formula1>
    </dataValidation>
    <dataValidation type="list" allowBlank="1" sqref="J15" xr:uid="{00000000-0002-0000-0300-000018000000}">
      <formula1>$G$9:$G$11</formula1>
    </dataValidation>
    <dataValidation type="list" allowBlank="1" sqref="AA49" xr:uid="{00000000-0002-0000-0300-000019000000}">
      <formula1>$AD$50:$AD$52</formula1>
    </dataValidation>
    <dataValidation type="list" allowBlank="1" sqref="Q19" xr:uid="{00000000-0002-0000-0300-00001A000000}">
      <formula1>$P$21:$R$21</formula1>
    </dataValidation>
    <dataValidation type="list" allowBlank="1" sqref="G11" xr:uid="{00000000-0002-0000-0300-00001B000000}">
      <formula1>$D$12:$D$14</formula1>
    </dataValidation>
    <dataValidation type="list" allowBlank="1" sqref="U28" xr:uid="{00000000-0002-0000-0300-00001C000000}">
      <formula1>$X$15:$X$17</formula1>
    </dataValidation>
    <dataValidation type="list" allowBlank="1" sqref="AA35" xr:uid="{00000000-0002-0000-0300-00001D000000}">
      <formula1>$AD$32:$AD$34</formula1>
    </dataValidation>
    <dataValidation type="list" allowBlank="1" sqref="AA47" xr:uid="{00000000-0002-0000-0300-00001E000000}">
      <formula1>$AD$44:$AD$46</formula1>
    </dataValidation>
    <dataValidation type="list" allowBlank="1" sqref="AA9" xr:uid="{00000000-0002-0000-0300-00001F000000}">
      <formula1>$AD$6:$AD$8</formula1>
    </dataValidation>
    <dataValidation type="list" allowBlank="1" sqref="R21" xr:uid="{00000000-0002-0000-0300-000020000000}">
      <formula1>$U$28:$U$30</formula1>
    </dataValidation>
    <dataValidation type="list" allowBlank="1" showErrorMessage="1" sqref="R36" xr:uid="{00000000-0002-0000-0300-000021000000}">
      <formula1>$U$28:$U$30</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4.42578125" defaultRowHeight="15" customHeight="1" x14ac:dyDescent="0.25"/>
  <cols>
    <col min="1" max="1" width="5" customWidth="1"/>
    <col min="2" max="2" width="20.42578125" customWidth="1"/>
    <col min="3" max="3" width="20.140625" customWidth="1"/>
    <col min="4" max="22" width="15" customWidth="1"/>
  </cols>
  <sheetData>
    <row r="1" spans="1:26" ht="27.75" customHeight="1" x14ac:dyDescent="0.25">
      <c r="A1" s="163" t="s">
        <v>134</v>
      </c>
      <c r="B1" s="164"/>
      <c r="C1" s="164"/>
      <c r="D1" s="164"/>
      <c r="E1" s="164"/>
      <c r="F1" s="165"/>
      <c r="G1" s="1"/>
      <c r="H1" s="1"/>
      <c r="I1" s="1"/>
      <c r="J1" s="1"/>
      <c r="K1" s="1"/>
      <c r="L1" s="1"/>
      <c r="M1" s="1"/>
      <c r="N1" s="1"/>
      <c r="O1" s="1"/>
      <c r="P1" s="1"/>
      <c r="Q1" s="1"/>
      <c r="R1" s="1"/>
      <c r="S1" s="1"/>
      <c r="T1" s="1"/>
      <c r="U1" s="1"/>
      <c r="V1" s="1"/>
      <c r="W1" s="1"/>
      <c r="X1" s="1"/>
      <c r="Y1" s="1"/>
      <c r="Z1" s="1"/>
    </row>
    <row r="2" spans="1:26" ht="34.5" customHeight="1" x14ac:dyDescent="0.25">
      <c r="A2" s="171" t="s">
        <v>135</v>
      </c>
      <c r="B2" s="172"/>
      <c r="C2" s="172"/>
      <c r="D2" s="172"/>
      <c r="E2" s="172"/>
      <c r="F2" s="172"/>
      <c r="K2" s="1"/>
      <c r="L2" s="1"/>
      <c r="M2" s="1"/>
      <c r="N2" s="1"/>
      <c r="O2" s="1"/>
      <c r="P2" s="1"/>
      <c r="Q2" s="1"/>
      <c r="R2" s="1"/>
      <c r="S2" s="1"/>
      <c r="T2" s="1"/>
      <c r="U2" s="1"/>
      <c r="V2" s="1"/>
      <c r="W2" s="1"/>
      <c r="X2" s="1"/>
      <c r="Y2" s="1"/>
      <c r="Z2" s="1"/>
    </row>
    <row r="3" spans="1:26" x14ac:dyDescent="0.25">
      <c r="K3" s="1"/>
      <c r="L3" s="1"/>
      <c r="M3" s="1"/>
      <c r="N3" s="1"/>
      <c r="O3" s="1"/>
      <c r="P3" s="1"/>
      <c r="Q3" s="1"/>
      <c r="R3" s="1"/>
      <c r="S3" s="1"/>
      <c r="T3" s="1"/>
      <c r="U3" s="1"/>
      <c r="V3" s="1"/>
      <c r="W3" s="1"/>
      <c r="X3" s="1"/>
      <c r="Y3" s="1"/>
      <c r="Z3" s="1"/>
    </row>
    <row r="4" spans="1:26" ht="15.75" customHeight="1" x14ac:dyDescent="0.25">
      <c r="B4" s="89" t="s">
        <v>136</v>
      </c>
      <c r="C4" s="90" t="s">
        <v>137</v>
      </c>
      <c r="K4" s="1"/>
      <c r="L4" s="1"/>
      <c r="M4" s="1"/>
      <c r="N4" s="1"/>
      <c r="O4" s="1"/>
      <c r="P4" s="1"/>
      <c r="Q4" s="1"/>
      <c r="R4" s="1"/>
      <c r="S4" s="1"/>
      <c r="T4" s="1"/>
      <c r="U4" s="1"/>
      <c r="V4" s="1"/>
      <c r="W4" s="1"/>
      <c r="X4" s="1"/>
      <c r="Y4" s="1"/>
      <c r="Z4" s="1"/>
    </row>
    <row r="5" spans="1:26" x14ac:dyDescent="0.25">
      <c r="B5" s="91"/>
      <c r="K5" s="1"/>
      <c r="L5" s="1"/>
      <c r="M5" s="1"/>
      <c r="N5" s="1"/>
      <c r="O5" s="1"/>
      <c r="P5" s="1"/>
      <c r="Q5" s="1"/>
      <c r="R5" s="1"/>
      <c r="S5" s="1"/>
      <c r="T5" s="1"/>
      <c r="U5" s="1"/>
      <c r="V5" s="1"/>
      <c r="W5" s="1"/>
      <c r="X5" s="1"/>
      <c r="Y5" s="1"/>
      <c r="Z5" s="1"/>
    </row>
    <row r="6" spans="1:26" ht="15.75" customHeight="1" x14ac:dyDescent="0.25">
      <c r="B6" s="89" t="s">
        <v>138</v>
      </c>
      <c r="C6" s="90">
        <v>323</v>
      </c>
      <c r="K6" s="1"/>
      <c r="L6" s="1"/>
      <c r="M6" s="1"/>
      <c r="N6" s="1"/>
      <c r="O6" s="1"/>
      <c r="P6" s="1"/>
      <c r="Q6" s="1"/>
      <c r="R6" s="1"/>
      <c r="S6" s="1"/>
      <c r="T6" s="1"/>
      <c r="U6" s="1"/>
      <c r="V6" s="1"/>
      <c r="W6" s="1"/>
      <c r="X6" s="1"/>
      <c r="Y6" s="1"/>
      <c r="Z6" s="1"/>
    </row>
    <row r="7" spans="1:26" x14ac:dyDescent="0.25">
      <c r="K7" s="1"/>
      <c r="L7" s="1"/>
      <c r="M7" s="1"/>
      <c r="N7" s="1"/>
      <c r="O7" s="1"/>
      <c r="P7" s="1"/>
      <c r="Q7" s="1"/>
      <c r="R7" s="1"/>
      <c r="S7" s="1"/>
      <c r="T7" s="1"/>
      <c r="U7" s="1"/>
      <c r="V7" s="1"/>
      <c r="W7" s="1"/>
      <c r="X7" s="1"/>
      <c r="Y7" s="1"/>
      <c r="Z7" s="1"/>
    </row>
    <row r="8" spans="1:26" x14ac:dyDescent="0.25">
      <c r="K8" s="1"/>
      <c r="L8" s="1"/>
      <c r="M8" s="1"/>
      <c r="N8" s="1"/>
      <c r="O8" s="1"/>
      <c r="P8" s="1"/>
      <c r="Q8" s="1"/>
      <c r="R8" s="1"/>
      <c r="S8" s="1"/>
      <c r="T8" s="1"/>
      <c r="U8" s="1"/>
      <c r="V8" s="1"/>
      <c r="W8" s="1"/>
      <c r="X8" s="1"/>
      <c r="Y8" s="1"/>
      <c r="Z8" s="1"/>
    </row>
    <row r="9" spans="1:26" x14ac:dyDescent="0.25">
      <c r="K9" s="1"/>
      <c r="L9" s="1"/>
      <c r="M9" s="1"/>
      <c r="N9" s="1"/>
      <c r="O9" s="1"/>
      <c r="P9" s="1"/>
      <c r="Q9" s="1"/>
      <c r="R9" s="1"/>
      <c r="S9" s="1"/>
      <c r="T9" s="1"/>
      <c r="U9" s="1"/>
      <c r="V9" s="1"/>
      <c r="W9" s="1"/>
      <c r="X9" s="1"/>
      <c r="Y9" s="1"/>
      <c r="Z9" s="1"/>
    </row>
    <row r="10" spans="1:26" x14ac:dyDescent="0.25">
      <c r="K10" s="1"/>
      <c r="L10" s="1"/>
      <c r="M10" s="1"/>
      <c r="N10" s="1"/>
      <c r="O10" s="1"/>
      <c r="P10" s="1"/>
      <c r="Q10" s="1"/>
      <c r="R10" s="1"/>
      <c r="S10" s="1"/>
      <c r="T10" s="1"/>
      <c r="U10" s="1"/>
      <c r="V10" s="1"/>
      <c r="W10" s="1"/>
      <c r="X10" s="1"/>
      <c r="Y10" s="1"/>
      <c r="Z10" s="1"/>
    </row>
    <row r="11" spans="1:26" x14ac:dyDescent="0.25">
      <c r="K11" s="1"/>
      <c r="L11" s="1"/>
      <c r="M11" s="1"/>
      <c r="N11" s="1"/>
      <c r="O11" s="1"/>
      <c r="P11" s="1"/>
      <c r="Q11" s="1"/>
      <c r="R11" s="1"/>
      <c r="S11" s="1"/>
      <c r="T11" s="1"/>
      <c r="U11" s="1"/>
      <c r="V11" s="1"/>
      <c r="W11" s="1"/>
      <c r="X11" s="1"/>
      <c r="Y11" s="1"/>
      <c r="Z11" s="1"/>
    </row>
    <row r="12" spans="1:26" x14ac:dyDescent="0.25">
      <c r="E12" s="1"/>
      <c r="F12" s="1"/>
      <c r="G12" s="1"/>
      <c r="H12" s="1"/>
      <c r="I12" s="1"/>
      <c r="J12" s="1"/>
      <c r="K12" s="1"/>
      <c r="L12" s="1"/>
      <c r="M12" s="1"/>
      <c r="N12" s="1"/>
      <c r="O12" s="1"/>
      <c r="P12" s="1"/>
      <c r="Q12" s="1"/>
      <c r="R12" s="1"/>
      <c r="S12" s="1"/>
      <c r="T12" s="1"/>
      <c r="U12" s="1"/>
      <c r="V12" s="1"/>
      <c r="W12" s="1"/>
      <c r="X12" s="1"/>
      <c r="Y12" s="1"/>
      <c r="Z12" s="1"/>
    </row>
    <row r="13" spans="1:26" ht="15" customHeight="1" x14ac:dyDescent="0.25">
      <c r="E13" s="92"/>
      <c r="F13" s="1"/>
      <c r="G13" s="1"/>
      <c r="H13" s="1"/>
      <c r="I13" s="1"/>
      <c r="J13" s="1"/>
    </row>
    <row r="14" spans="1:26" x14ac:dyDescent="0.25">
      <c r="E14" s="69"/>
      <c r="F14" s="69"/>
      <c r="G14" s="69"/>
      <c r="H14" s="69"/>
      <c r="I14" s="69"/>
      <c r="J14" s="69"/>
    </row>
    <row r="15" spans="1:26" x14ac:dyDescent="0.25">
      <c r="E15" s="1"/>
      <c r="F15" s="1"/>
      <c r="G15" s="1"/>
      <c r="H15" s="1"/>
      <c r="I15" s="1"/>
      <c r="J15" s="1"/>
    </row>
    <row r="18" spans="6:6" x14ac:dyDescent="0.25">
      <c r="F18" s="1"/>
    </row>
    <row r="21" spans="6:6" ht="15.75" customHeight="1" x14ac:dyDescent="0.25"/>
    <row r="22" spans="6:6" ht="15.75" customHeight="1" x14ac:dyDescent="0.25"/>
    <row r="23" spans="6:6" ht="15.75" customHeight="1" x14ac:dyDescent="0.25"/>
    <row r="24" spans="6:6" ht="15.75" customHeight="1" x14ac:dyDescent="0.25"/>
    <row r="25" spans="6:6" ht="15.75" customHeight="1" x14ac:dyDescent="0.25"/>
    <row r="26" spans="6:6" ht="15.75" customHeight="1" x14ac:dyDescent="0.25"/>
    <row r="27" spans="6:6" ht="15.75" customHeight="1" x14ac:dyDescent="0.25"/>
    <row r="28" spans="6:6" ht="15.75" customHeight="1" x14ac:dyDescent="0.25"/>
    <row r="29" spans="6:6" ht="15.75" customHeight="1" x14ac:dyDescent="0.25"/>
    <row r="30" spans="6:6" ht="15.75" customHeight="1" x14ac:dyDescent="0.25"/>
    <row r="31" spans="6:6" ht="15.75" customHeight="1" x14ac:dyDescent="0.25"/>
    <row r="32" spans="6: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F1"/>
    <mergeCell ref="A2:F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showGridLines="0" workbookViewId="0"/>
  </sheetViews>
  <sheetFormatPr defaultColWidth="14.42578125" defaultRowHeight="15" customHeight="1" x14ac:dyDescent="0.25"/>
  <cols>
    <col min="1" max="1" width="10" customWidth="1"/>
    <col min="2" max="2" width="30" customWidth="1"/>
    <col min="3" max="3" width="14" customWidth="1"/>
    <col min="4" max="4" width="32" customWidth="1"/>
    <col min="5" max="5" width="8.7109375" customWidth="1"/>
    <col min="6" max="8" width="14" customWidth="1"/>
  </cols>
  <sheetData>
    <row r="1" spans="1:8" ht="27.75" customHeight="1" x14ac:dyDescent="0.25">
      <c r="A1" s="163" t="s">
        <v>139</v>
      </c>
      <c r="B1" s="164"/>
      <c r="C1" s="164"/>
      <c r="D1" s="165"/>
      <c r="F1" s="10" t="s">
        <v>140</v>
      </c>
      <c r="G1" s="10"/>
      <c r="H1" s="10"/>
    </row>
    <row r="2" spans="1:8" ht="24" customHeight="1" x14ac:dyDescent="0.25">
      <c r="A2" s="45" t="s">
        <v>18</v>
      </c>
      <c r="B2" s="45" t="s">
        <v>141</v>
      </c>
      <c r="C2" s="45" t="s">
        <v>142</v>
      </c>
      <c r="D2" s="45" t="s">
        <v>143</v>
      </c>
      <c r="F2" s="10" t="s">
        <v>18</v>
      </c>
      <c r="G2" s="10" t="s">
        <v>144</v>
      </c>
      <c r="H2" s="10" t="s">
        <v>145</v>
      </c>
    </row>
    <row r="3" spans="1:8" ht="21.75" customHeight="1" x14ac:dyDescent="0.25">
      <c r="A3" s="46" t="s">
        <v>25</v>
      </c>
      <c r="B3" s="93" t="s">
        <v>27</v>
      </c>
      <c r="C3" s="94" t="s">
        <v>146</v>
      </c>
      <c r="D3" s="94"/>
      <c r="F3" s="95" t="s">
        <v>25</v>
      </c>
      <c r="G3" s="96"/>
      <c r="H3" s="95">
        <v>4</v>
      </c>
    </row>
    <row r="4" spans="1:8" ht="21.75" customHeight="1" x14ac:dyDescent="0.25">
      <c r="A4" s="46" t="s">
        <v>25</v>
      </c>
      <c r="B4" s="93" t="s">
        <v>28</v>
      </c>
      <c r="C4" s="94" t="s">
        <v>147</v>
      </c>
      <c r="D4" s="94"/>
      <c r="F4" s="97" t="s">
        <v>30</v>
      </c>
      <c r="G4" s="98"/>
      <c r="H4" s="97">
        <v>4</v>
      </c>
    </row>
    <row r="5" spans="1:8" ht="21.75" customHeight="1" x14ac:dyDescent="0.25">
      <c r="A5" s="46" t="s">
        <v>25</v>
      </c>
      <c r="B5" s="93" t="s">
        <v>148</v>
      </c>
      <c r="C5" s="94" t="s">
        <v>149</v>
      </c>
      <c r="D5" s="94"/>
      <c r="F5" s="99" t="s">
        <v>35</v>
      </c>
      <c r="G5" s="100"/>
      <c r="H5" s="99">
        <v>4</v>
      </c>
    </row>
    <row r="6" spans="1:8" ht="21.75" customHeight="1" x14ac:dyDescent="0.25">
      <c r="A6" s="46" t="s">
        <v>25</v>
      </c>
      <c r="B6" s="93" t="s">
        <v>26</v>
      </c>
      <c r="C6" s="94" t="s">
        <v>149</v>
      </c>
      <c r="D6" s="94"/>
      <c r="F6" s="101" t="s">
        <v>40</v>
      </c>
      <c r="G6" s="102"/>
      <c r="H6" s="101">
        <v>4</v>
      </c>
    </row>
    <row r="7" spans="1:8" ht="21.75" customHeight="1" x14ac:dyDescent="0.25">
      <c r="A7" s="49" t="s">
        <v>30</v>
      </c>
      <c r="B7" s="103" t="s">
        <v>33</v>
      </c>
      <c r="C7" s="104" t="s">
        <v>150</v>
      </c>
      <c r="D7" s="104"/>
      <c r="F7" s="105" t="s">
        <v>45</v>
      </c>
      <c r="G7" s="106"/>
      <c r="H7" s="105">
        <v>4</v>
      </c>
    </row>
    <row r="8" spans="1:8" ht="21.75" customHeight="1" x14ac:dyDescent="0.25">
      <c r="A8" s="49" t="s">
        <v>30</v>
      </c>
      <c r="B8" s="103" t="s">
        <v>32</v>
      </c>
      <c r="C8" s="104" t="s">
        <v>151</v>
      </c>
      <c r="D8" s="104"/>
      <c r="F8" s="107" t="s">
        <v>50</v>
      </c>
      <c r="G8" s="108"/>
      <c r="H8" s="107">
        <v>4</v>
      </c>
    </row>
    <row r="9" spans="1:8" ht="21.75" customHeight="1" x14ac:dyDescent="0.25">
      <c r="A9" s="49" t="s">
        <v>30</v>
      </c>
      <c r="B9" s="103" t="s">
        <v>152</v>
      </c>
      <c r="C9" s="104" t="s">
        <v>153</v>
      </c>
      <c r="D9" s="104"/>
      <c r="F9" s="109" t="s">
        <v>55</v>
      </c>
      <c r="G9" s="110"/>
      <c r="H9" s="109">
        <v>4</v>
      </c>
    </row>
    <row r="10" spans="1:8" ht="21.75" customHeight="1" x14ac:dyDescent="0.25">
      <c r="A10" s="49" t="s">
        <v>30</v>
      </c>
      <c r="B10" s="103" t="s">
        <v>31</v>
      </c>
      <c r="C10" s="104" t="s">
        <v>154</v>
      </c>
      <c r="D10" s="104"/>
      <c r="F10" s="95" t="s">
        <v>60</v>
      </c>
      <c r="G10" s="111"/>
      <c r="H10" s="95">
        <v>4</v>
      </c>
    </row>
    <row r="11" spans="1:8" ht="21.75" customHeight="1" x14ac:dyDescent="0.25">
      <c r="A11" s="51" t="s">
        <v>35</v>
      </c>
      <c r="B11" s="112" t="s">
        <v>36</v>
      </c>
      <c r="C11" s="113" t="s">
        <v>155</v>
      </c>
      <c r="D11" s="113"/>
      <c r="F11" s="97" t="s">
        <v>65</v>
      </c>
      <c r="G11" s="114"/>
      <c r="H11" s="97">
        <v>4</v>
      </c>
    </row>
    <row r="12" spans="1:8" ht="21.75" customHeight="1" x14ac:dyDescent="0.25">
      <c r="A12" s="51" t="s">
        <v>35</v>
      </c>
      <c r="B12" s="112" t="s">
        <v>156</v>
      </c>
      <c r="C12" s="113" t="s">
        <v>157</v>
      </c>
      <c r="D12" s="113"/>
      <c r="F12" s="99" t="s">
        <v>70</v>
      </c>
      <c r="G12" s="115"/>
      <c r="H12" s="99">
        <v>4</v>
      </c>
    </row>
    <row r="13" spans="1:8" ht="21.75" customHeight="1" x14ac:dyDescent="0.25">
      <c r="A13" s="51" t="s">
        <v>35</v>
      </c>
      <c r="B13" s="112" t="s">
        <v>37</v>
      </c>
      <c r="C13" s="113" t="s">
        <v>158</v>
      </c>
      <c r="D13" s="113"/>
      <c r="F13" s="101" t="s">
        <v>75</v>
      </c>
      <c r="G13" s="116"/>
      <c r="H13" s="101">
        <v>4</v>
      </c>
    </row>
    <row r="14" spans="1:8" ht="21.75" customHeight="1" x14ac:dyDescent="0.25">
      <c r="A14" s="51" t="s">
        <v>35</v>
      </c>
      <c r="B14" s="112" t="s">
        <v>38</v>
      </c>
      <c r="C14" s="113" t="s">
        <v>159</v>
      </c>
      <c r="D14" s="113"/>
      <c r="F14" s="105" t="s">
        <v>80</v>
      </c>
      <c r="G14" s="117"/>
      <c r="H14" s="105">
        <v>4</v>
      </c>
    </row>
    <row r="15" spans="1:8" ht="21.75" customHeight="1" x14ac:dyDescent="0.25">
      <c r="A15" s="53" t="s">
        <v>40</v>
      </c>
      <c r="B15" s="118" t="s">
        <v>42</v>
      </c>
      <c r="C15" s="119" t="s">
        <v>42</v>
      </c>
      <c r="D15" s="119"/>
    </row>
    <row r="16" spans="1:8" ht="21.75" customHeight="1" x14ac:dyDescent="0.25">
      <c r="A16" s="53" t="s">
        <v>40</v>
      </c>
      <c r="B16" s="118" t="s">
        <v>160</v>
      </c>
      <c r="C16" s="119" t="s">
        <v>161</v>
      </c>
      <c r="D16" s="119"/>
    </row>
    <row r="17" spans="1:4" ht="21.75" customHeight="1" x14ac:dyDescent="0.25">
      <c r="A17" s="53" t="s">
        <v>40</v>
      </c>
      <c r="B17" s="118" t="s">
        <v>43</v>
      </c>
      <c r="C17" s="119" t="s">
        <v>162</v>
      </c>
      <c r="D17" s="119"/>
    </row>
    <row r="18" spans="1:4" ht="21.75" customHeight="1" x14ac:dyDescent="0.25">
      <c r="A18" s="53" t="s">
        <v>40</v>
      </c>
      <c r="B18" s="118" t="s">
        <v>41</v>
      </c>
      <c r="C18" s="119" t="s">
        <v>163</v>
      </c>
      <c r="D18" s="119"/>
    </row>
    <row r="19" spans="1:4" ht="21.75" customHeight="1" x14ac:dyDescent="0.25">
      <c r="A19" s="55" t="s">
        <v>45</v>
      </c>
      <c r="B19" s="120" t="s">
        <v>164</v>
      </c>
      <c r="C19" s="121" t="s">
        <v>165</v>
      </c>
      <c r="D19" s="121"/>
    </row>
    <row r="20" spans="1:4" ht="21.75" customHeight="1" x14ac:dyDescent="0.25">
      <c r="A20" s="55" t="s">
        <v>45</v>
      </c>
      <c r="B20" s="120" t="s">
        <v>47</v>
      </c>
      <c r="C20" s="121" t="s">
        <v>166</v>
      </c>
      <c r="D20" s="121"/>
    </row>
    <row r="21" spans="1:4" ht="21.75" customHeight="1" x14ac:dyDescent="0.25">
      <c r="A21" s="55" t="s">
        <v>45</v>
      </c>
      <c r="B21" s="120" t="s">
        <v>46</v>
      </c>
      <c r="C21" s="121" t="s">
        <v>167</v>
      </c>
      <c r="D21" s="121"/>
    </row>
    <row r="22" spans="1:4" ht="21.75" customHeight="1" x14ac:dyDescent="0.25">
      <c r="A22" s="55" t="s">
        <v>45</v>
      </c>
      <c r="B22" s="120" t="s">
        <v>48</v>
      </c>
      <c r="C22" s="121" t="s">
        <v>168</v>
      </c>
      <c r="D22" s="121"/>
    </row>
    <row r="23" spans="1:4" ht="21.75" customHeight="1" x14ac:dyDescent="0.25">
      <c r="A23" s="57" t="s">
        <v>50</v>
      </c>
      <c r="B23" s="122" t="s">
        <v>51</v>
      </c>
      <c r="C23" s="123" t="s">
        <v>169</v>
      </c>
      <c r="D23" s="123"/>
    </row>
    <row r="24" spans="1:4" ht="21.75" customHeight="1" x14ac:dyDescent="0.25">
      <c r="A24" s="57" t="s">
        <v>50</v>
      </c>
      <c r="B24" s="122" t="s">
        <v>52</v>
      </c>
      <c r="C24" s="123" t="s">
        <v>170</v>
      </c>
      <c r="D24" s="123"/>
    </row>
    <row r="25" spans="1:4" ht="21.75" customHeight="1" x14ac:dyDescent="0.25">
      <c r="A25" s="57" t="s">
        <v>50</v>
      </c>
      <c r="B25" s="122" t="s">
        <v>53</v>
      </c>
      <c r="C25" s="123" t="s">
        <v>171</v>
      </c>
      <c r="D25" s="123"/>
    </row>
    <row r="26" spans="1:4" ht="21.75" customHeight="1" x14ac:dyDescent="0.25">
      <c r="A26" s="57" t="s">
        <v>50</v>
      </c>
      <c r="B26" s="122" t="s">
        <v>172</v>
      </c>
      <c r="C26" s="123" t="s">
        <v>173</v>
      </c>
      <c r="D26" s="123"/>
    </row>
    <row r="27" spans="1:4" ht="21.75" customHeight="1" x14ac:dyDescent="0.25">
      <c r="A27" s="59" t="s">
        <v>55</v>
      </c>
      <c r="B27" s="124" t="s">
        <v>56</v>
      </c>
      <c r="C27" s="125" t="s">
        <v>174</v>
      </c>
      <c r="D27" s="125"/>
    </row>
    <row r="28" spans="1:4" ht="21.75" customHeight="1" x14ac:dyDescent="0.25">
      <c r="A28" s="59" t="s">
        <v>55</v>
      </c>
      <c r="B28" s="124" t="s">
        <v>57</v>
      </c>
      <c r="C28" s="125" t="s">
        <v>175</v>
      </c>
      <c r="D28" s="125"/>
    </row>
    <row r="29" spans="1:4" ht="21.75" customHeight="1" x14ac:dyDescent="0.25">
      <c r="A29" s="59" t="s">
        <v>55</v>
      </c>
      <c r="B29" s="124" t="s">
        <v>58</v>
      </c>
      <c r="C29" s="125" t="s">
        <v>176</v>
      </c>
      <c r="D29" s="125"/>
    </row>
    <row r="30" spans="1:4" ht="21.75" customHeight="1" x14ac:dyDescent="0.25">
      <c r="A30" s="59" t="s">
        <v>55</v>
      </c>
      <c r="B30" s="124" t="s">
        <v>177</v>
      </c>
      <c r="C30" s="125" t="s">
        <v>178</v>
      </c>
      <c r="D30" s="125"/>
    </row>
    <row r="31" spans="1:4" ht="21.75" customHeight="1" x14ac:dyDescent="0.25">
      <c r="A31" s="61" t="s">
        <v>60</v>
      </c>
      <c r="B31" s="93" t="s">
        <v>179</v>
      </c>
      <c r="C31" s="94" t="s">
        <v>180</v>
      </c>
      <c r="D31" s="94"/>
    </row>
    <row r="32" spans="1:4" ht="21.75" customHeight="1" x14ac:dyDescent="0.25">
      <c r="A32" s="61" t="s">
        <v>60</v>
      </c>
      <c r="B32" s="93" t="s">
        <v>63</v>
      </c>
      <c r="C32" s="94" t="s">
        <v>181</v>
      </c>
      <c r="D32" s="94"/>
    </row>
    <row r="33" spans="1:4" ht="21.75" customHeight="1" x14ac:dyDescent="0.25">
      <c r="A33" s="61" t="s">
        <v>60</v>
      </c>
      <c r="B33" s="93" t="s">
        <v>61</v>
      </c>
      <c r="C33" s="94" t="s">
        <v>182</v>
      </c>
      <c r="D33" s="94"/>
    </row>
    <row r="34" spans="1:4" ht="21.75" customHeight="1" x14ac:dyDescent="0.25">
      <c r="A34" s="61" t="s">
        <v>60</v>
      </c>
      <c r="B34" s="93" t="s">
        <v>62</v>
      </c>
      <c r="C34" s="94" t="s">
        <v>183</v>
      </c>
      <c r="D34" s="94"/>
    </row>
    <row r="35" spans="1:4" ht="21.75" customHeight="1" x14ac:dyDescent="0.25">
      <c r="A35" s="62" t="s">
        <v>65</v>
      </c>
      <c r="B35" s="103" t="s">
        <v>66</v>
      </c>
      <c r="C35" s="104" t="s">
        <v>184</v>
      </c>
      <c r="D35" s="104"/>
    </row>
    <row r="36" spans="1:4" ht="21.75" customHeight="1" x14ac:dyDescent="0.25">
      <c r="A36" s="62" t="s">
        <v>65</v>
      </c>
      <c r="B36" s="103" t="s">
        <v>67</v>
      </c>
      <c r="C36" s="104" t="s">
        <v>185</v>
      </c>
      <c r="D36" s="104"/>
    </row>
    <row r="37" spans="1:4" ht="21.75" customHeight="1" x14ac:dyDescent="0.25">
      <c r="A37" s="62" t="s">
        <v>65</v>
      </c>
      <c r="B37" s="103" t="s">
        <v>68</v>
      </c>
      <c r="C37" s="104" t="s">
        <v>186</v>
      </c>
      <c r="D37" s="104"/>
    </row>
    <row r="38" spans="1:4" ht="21.75" customHeight="1" x14ac:dyDescent="0.25">
      <c r="A38" s="62" t="s">
        <v>65</v>
      </c>
      <c r="B38" s="103" t="s">
        <v>187</v>
      </c>
      <c r="C38" s="104" t="s">
        <v>176</v>
      </c>
      <c r="D38" s="104"/>
    </row>
    <row r="39" spans="1:4" ht="21.75" customHeight="1" x14ac:dyDescent="0.25">
      <c r="A39" s="63" t="s">
        <v>70</v>
      </c>
      <c r="B39" s="112" t="s">
        <v>73</v>
      </c>
      <c r="C39" s="113" t="s">
        <v>188</v>
      </c>
      <c r="D39" s="113"/>
    </row>
    <row r="40" spans="1:4" ht="21.75" customHeight="1" x14ac:dyDescent="0.25">
      <c r="A40" s="63" t="s">
        <v>70</v>
      </c>
      <c r="B40" s="112" t="s">
        <v>71</v>
      </c>
      <c r="C40" s="113" t="s">
        <v>189</v>
      </c>
      <c r="D40" s="113"/>
    </row>
    <row r="41" spans="1:4" ht="21.75" customHeight="1" x14ac:dyDescent="0.25">
      <c r="A41" s="63" t="s">
        <v>70</v>
      </c>
      <c r="B41" s="112" t="s">
        <v>72</v>
      </c>
      <c r="C41" s="113" t="s">
        <v>190</v>
      </c>
      <c r="D41" s="113"/>
    </row>
    <row r="42" spans="1:4" ht="21.75" customHeight="1" x14ac:dyDescent="0.25">
      <c r="A42" s="63" t="s">
        <v>70</v>
      </c>
      <c r="B42" s="112" t="s">
        <v>191</v>
      </c>
      <c r="C42" s="113" t="s">
        <v>192</v>
      </c>
      <c r="D42" s="113"/>
    </row>
    <row r="43" spans="1:4" ht="21.75" customHeight="1" x14ac:dyDescent="0.25">
      <c r="A43" s="64" t="s">
        <v>75</v>
      </c>
      <c r="B43" s="118" t="s">
        <v>77</v>
      </c>
      <c r="C43" s="119" t="s">
        <v>193</v>
      </c>
      <c r="D43" s="119"/>
    </row>
    <row r="44" spans="1:4" ht="21.75" customHeight="1" x14ac:dyDescent="0.25">
      <c r="A44" s="64" t="s">
        <v>75</v>
      </c>
      <c r="B44" s="118" t="s">
        <v>78</v>
      </c>
      <c r="C44" s="119" t="s">
        <v>194</v>
      </c>
      <c r="D44" s="119"/>
    </row>
    <row r="45" spans="1:4" ht="21.75" customHeight="1" x14ac:dyDescent="0.25">
      <c r="A45" s="64" t="s">
        <v>75</v>
      </c>
      <c r="B45" s="118" t="s">
        <v>76</v>
      </c>
      <c r="C45" s="119" t="s">
        <v>195</v>
      </c>
      <c r="D45" s="119"/>
    </row>
    <row r="46" spans="1:4" ht="21.75" customHeight="1" x14ac:dyDescent="0.25">
      <c r="A46" s="64" t="s">
        <v>75</v>
      </c>
      <c r="B46" s="118" t="s">
        <v>196</v>
      </c>
      <c r="C46" s="119" t="s">
        <v>197</v>
      </c>
      <c r="D46" s="119"/>
    </row>
    <row r="47" spans="1:4" ht="21.75" customHeight="1" x14ac:dyDescent="0.25">
      <c r="A47" s="65" t="s">
        <v>80</v>
      </c>
      <c r="B47" s="120" t="s">
        <v>81</v>
      </c>
      <c r="C47" s="121" t="s">
        <v>198</v>
      </c>
      <c r="D47" s="121"/>
    </row>
    <row r="48" spans="1:4" ht="21.75" customHeight="1" x14ac:dyDescent="0.25">
      <c r="A48" s="65" t="s">
        <v>80</v>
      </c>
      <c r="B48" s="120" t="s">
        <v>82</v>
      </c>
      <c r="C48" s="121" t="s">
        <v>199</v>
      </c>
      <c r="D48" s="121"/>
    </row>
    <row r="49" spans="1:4" ht="21.75" customHeight="1" x14ac:dyDescent="0.25">
      <c r="A49" s="65" t="s">
        <v>80</v>
      </c>
      <c r="B49" s="120" t="s">
        <v>200</v>
      </c>
      <c r="C49" s="121" t="s">
        <v>201</v>
      </c>
      <c r="D49" s="121"/>
    </row>
    <row r="50" spans="1:4" ht="21.75" customHeight="1" x14ac:dyDescent="0.25">
      <c r="A50" s="65" t="s">
        <v>80</v>
      </c>
      <c r="B50" s="120" t="s">
        <v>83</v>
      </c>
      <c r="C50" s="121" t="s">
        <v>202</v>
      </c>
      <c r="D50" s="121"/>
    </row>
    <row r="51" spans="1:4" ht="15.75" customHeight="1" x14ac:dyDescent="0.25"/>
    <row r="52" spans="1:4" ht="15.75" customHeight="1" x14ac:dyDescent="0.25"/>
    <row r="53" spans="1:4" ht="15.75" customHeight="1" x14ac:dyDescent="0.25"/>
    <row r="54" spans="1:4" ht="15.75" customHeight="1" x14ac:dyDescent="0.25"/>
    <row r="55" spans="1:4" ht="15.75" customHeight="1" x14ac:dyDescent="0.25"/>
    <row r="56" spans="1:4" ht="15.75" customHeight="1" x14ac:dyDescent="0.25"/>
    <row r="57" spans="1:4" ht="15.75" customHeight="1" x14ac:dyDescent="0.25"/>
    <row r="58" spans="1:4" ht="15.75" customHeight="1" x14ac:dyDescent="0.25"/>
    <row r="59" spans="1:4" ht="15.75" customHeight="1" x14ac:dyDescent="0.25"/>
    <row r="60" spans="1:4" ht="15.75" customHeight="1" x14ac:dyDescent="0.25"/>
    <row r="61" spans="1:4" ht="15.75" customHeight="1" x14ac:dyDescent="0.25"/>
    <row r="62" spans="1:4" ht="15.75" customHeight="1" x14ac:dyDescent="0.25"/>
    <row r="63" spans="1:4" ht="15.75" customHeight="1" x14ac:dyDescent="0.25"/>
    <row r="64" spans="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D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showGridLines="0" workbookViewId="0"/>
  </sheetViews>
  <sheetFormatPr defaultColWidth="14.42578125" defaultRowHeight="15" customHeight="1" x14ac:dyDescent="0.25"/>
  <cols>
    <col min="1" max="1" width="10" customWidth="1"/>
    <col min="2" max="2" width="12" customWidth="1"/>
    <col min="3" max="4" width="10" customWidth="1"/>
    <col min="5" max="7" width="26" customWidth="1"/>
    <col min="8" max="8" width="28" customWidth="1"/>
    <col min="9" max="9" width="18" customWidth="1"/>
  </cols>
  <sheetData>
    <row r="1" spans="1:9" ht="27.75" customHeight="1" x14ac:dyDescent="0.25">
      <c r="A1" s="184" t="s">
        <v>203</v>
      </c>
      <c r="B1" s="185"/>
      <c r="C1" s="185"/>
      <c r="D1" s="185"/>
      <c r="E1" s="185"/>
      <c r="F1" s="185"/>
      <c r="G1" s="185"/>
      <c r="H1" s="185"/>
      <c r="I1" s="185"/>
    </row>
    <row r="2" spans="1:9" ht="21.75" customHeight="1" x14ac:dyDescent="0.25">
      <c r="A2" s="126" t="s">
        <v>204</v>
      </c>
      <c r="B2" s="126" t="s">
        <v>205</v>
      </c>
      <c r="C2" s="126" t="s">
        <v>206</v>
      </c>
      <c r="D2" s="126" t="s">
        <v>18</v>
      </c>
      <c r="E2" s="126" t="s">
        <v>207</v>
      </c>
      <c r="F2" s="126" t="s">
        <v>208</v>
      </c>
      <c r="G2" s="126" t="s">
        <v>204</v>
      </c>
      <c r="H2" s="126" t="s">
        <v>209</v>
      </c>
      <c r="I2" s="126" t="s">
        <v>210</v>
      </c>
    </row>
    <row r="3" spans="1:9" ht="21.75" customHeight="1" x14ac:dyDescent="0.25">
      <c r="A3" s="127">
        <v>1</v>
      </c>
      <c r="B3" s="128">
        <v>46184</v>
      </c>
      <c r="C3" s="127" t="s">
        <v>211</v>
      </c>
      <c r="D3" s="129" t="s">
        <v>25</v>
      </c>
      <c r="E3" s="127" t="s">
        <v>27</v>
      </c>
      <c r="F3" s="127" t="s">
        <v>148</v>
      </c>
      <c r="G3" s="127" t="s">
        <v>212</v>
      </c>
      <c r="H3" s="127" t="s">
        <v>213</v>
      </c>
      <c r="I3" s="127" t="s">
        <v>214</v>
      </c>
    </row>
    <row r="4" spans="1:9" ht="21.75" customHeight="1" x14ac:dyDescent="0.25">
      <c r="A4" s="127">
        <v>2</v>
      </c>
      <c r="B4" s="128">
        <v>46184</v>
      </c>
      <c r="C4" s="127" t="s">
        <v>215</v>
      </c>
      <c r="D4" s="129" t="s">
        <v>25</v>
      </c>
      <c r="E4" s="127" t="s">
        <v>26</v>
      </c>
      <c r="F4" s="127" t="s">
        <v>28</v>
      </c>
      <c r="G4" s="127" t="s">
        <v>216</v>
      </c>
      <c r="H4" s="127" t="s">
        <v>217</v>
      </c>
      <c r="I4" s="127" t="s">
        <v>214</v>
      </c>
    </row>
    <row r="5" spans="1:9" ht="21.75" customHeight="1" x14ac:dyDescent="0.25">
      <c r="A5" s="130">
        <v>3</v>
      </c>
      <c r="B5" s="131">
        <v>46185</v>
      </c>
      <c r="C5" s="130" t="s">
        <v>211</v>
      </c>
      <c r="D5" s="132" t="s">
        <v>30</v>
      </c>
      <c r="E5" s="130" t="s">
        <v>33</v>
      </c>
      <c r="F5" s="130" t="s">
        <v>32</v>
      </c>
      <c r="G5" s="130" t="s">
        <v>218</v>
      </c>
      <c r="H5" s="130" t="s">
        <v>219</v>
      </c>
      <c r="I5" s="130" t="s">
        <v>214</v>
      </c>
    </row>
    <row r="6" spans="1:9" ht="21.75" customHeight="1" x14ac:dyDescent="0.25">
      <c r="A6" s="133">
        <v>4</v>
      </c>
      <c r="B6" s="134">
        <v>46185</v>
      </c>
      <c r="C6" s="133" t="s">
        <v>220</v>
      </c>
      <c r="D6" s="135" t="s">
        <v>40</v>
      </c>
      <c r="E6" s="133" t="s">
        <v>42</v>
      </c>
      <c r="F6" s="133" t="s">
        <v>43</v>
      </c>
      <c r="G6" s="133" t="s">
        <v>221</v>
      </c>
      <c r="H6" s="133" t="s">
        <v>222</v>
      </c>
      <c r="I6" s="133" t="s">
        <v>214</v>
      </c>
    </row>
    <row r="7" spans="1:9" ht="21.75" customHeight="1" x14ac:dyDescent="0.25">
      <c r="A7" s="130">
        <v>5</v>
      </c>
      <c r="B7" s="131">
        <v>46186</v>
      </c>
      <c r="C7" s="130" t="s">
        <v>211</v>
      </c>
      <c r="D7" s="132" t="s">
        <v>30</v>
      </c>
      <c r="E7" s="130" t="s">
        <v>152</v>
      </c>
      <c r="F7" s="130" t="s">
        <v>31</v>
      </c>
      <c r="G7" s="130" t="s">
        <v>223</v>
      </c>
      <c r="H7" s="130" t="s">
        <v>224</v>
      </c>
      <c r="I7" s="130" t="s">
        <v>214</v>
      </c>
    </row>
    <row r="8" spans="1:9" ht="21.75" customHeight="1" x14ac:dyDescent="0.25">
      <c r="A8" s="136">
        <v>6</v>
      </c>
      <c r="B8" s="137">
        <v>46186</v>
      </c>
      <c r="C8" s="136" t="s">
        <v>225</v>
      </c>
      <c r="D8" s="138" t="s">
        <v>35</v>
      </c>
      <c r="E8" s="136" t="s">
        <v>36</v>
      </c>
      <c r="F8" s="136" t="s">
        <v>37</v>
      </c>
      <c r="G8" s="136" t="s">
        <v>226</v>
      </c>
      <c r="H8" s="136" t="s">
        <v>227</v>
      </c>
      <c r="I8" s="136" t="s">
        <v>214</v>
      </c>
    </row>
    <row r="9" spans="1:9" ht="21.75" customHeight="1" x14ac:dyDescent="0.25">
      <c r="A9" s="136">
        <v>7</v>
      </c>
      <c r="B9" s="137">
        <v>46186</v>
      </c>
      <c r="C9" s="136" t="s">
        <v>220</v>
      </c>
      <c r="D9" s="138" t="s">
        <v>35</v>
      </c>
      <c r="E9" s="136" t="s">
        <v>156</v>
      </c>
      <c r="F9" s="136" t="s">
        <v>38</v>
      </c>
      <c r="G9" s="136" t="s">
        <v>228</v>
      </c>
      <c r="H9" s="136" t="s">
        <v>229</v>
      </c>
      <c r="I9" s="136" t="s">
        <v>214</v>
      </c>
    </row>
    <row r="10" spans="1:9" ht="21.75" customHeight="1" x14ac:dyDescent="0.25">
      <c r="A10" s="133">
        <v>8</v>
      </c>
      <c r="B10" s="134">
        <v>46186</v>
      </c>
      <c r="C10" s="133" t="s">
        <v>230</v>
      </c>
      <c r="D10" s="135" t="s">
        <v>40</v>
      </c>
      <c r="E10" s="133" t="s">
        <v>160</v>
      </c>
      <c r="F10" s="133" t="s">
        <v>41</v>
      </c>
      <c r="G10" s="133" t="s">
        <v>231</v>
      </c>
      <c r="H10" s="133" t="s">
        <v>232</v>
      </c>
      <c r="I10" s="133" t="s">
        <v>214</v>
      </c>
    </row>
    <row r="11" spans="1:9" ht="21.75" customHeight="1" x14ac:dyDescent="0.25">
      <c r="A11" s="139">
        <v>9</v>
      </c>
      <c r="B11" s="140">
        <v>46187</v>
      </c>
      <c r="C11" s="139" t="s">
        <v>233</v>
      </c>
      <c r="D11" s="141" t="s">
        <v>45</v>
      </c>
      <c r="E11" s="139" t="s">
        <v>46</v>
      </c>
      <c r="F11" s="139" t="s">
        <v>164</v>
      </c>
      <c r="G11" s="139" t="s">
        <v>234</v>
      </c>
      <c r="H11" s="139" t="s">
        <v>235</v>
      </c>
      <c r="I11" s="139" t="s">
        <v>214</v>
      </c>
    </row>
    <row r="12" spans="1:9" ht="21.75" customHeight="1" x14ac:dyDescent="0.25">
      <c r="A12" s="142">
        <v>10</v>
      </c>
      <c r="B12" s="143">
        <v>46187</v>
      </c>
      <c r="C12" s="142" t="s">
        <v>236</v>
      </c>
      <c r="D12" s="144" t="s">
        <v>50</v>
      </c>
      <c r="E12" s="142" t="s">
        <v>51</v>
      </c>
      <c r="F12" s="142" t="s">
        <v>52</v>
      </c>
      <c r="G12" s="142" t="s">
        <v>237</v>
      </c>
      <c r="H12" s="142" t="s">
        <v>238</v>
      </c>
      <c r="I12" s="142" t="s">
        <v>214</v>
      </c>
    </row>
    <row r="13" spans="1:9" ht="21.75" customHeight="1" x14ac:dyDescent="0.25">
      <c r="A13" s="139">
        <v>11</v>
      </c>
      <c r="B13" s="140">
        <v>46187</v>
      </c>
      <c r="C13" s="139" t="s">
        <v>239</v>
      </c>
      <c r="D13" s="141" t="s">
        <v>45</v>
      </c>
      <c r="E13" s="139" t="s">
        <v>48</v>
      </c>
      <c r="F13" s="139" t="s">
        <v>47</v>
      </c>
      <c r="G13" s="139" t="s">
        <v>240</v>
      </c>
      <c r="H13" s="139" t="s">
        <v>241</v>
      </c>
      <c r="I13" s="139" t="s">
        <v>214</v>
      </c>
    </row>
    <row r="14" spans="1:9" ht="21.75" customHeight="1" x14ac:dyDescent="0.25">
      <c r="A14" s="142">
        <v>12</v>
      </c>
      <c r="B14" s="143">
        <v>46187</v>
      </c>
      <c r="C14" s="142" t="s">
        <v>215</v>
      </c>
      <c r="D14" s="144" t="s">
        <v>50</v>
      </c>
      <c r="E14" s="142" t="s">
        <v>172</v>
      </c>
      <c r="F14" s="142" t="s">
        <v>53</v>
      </c>
      <c r="G14" s="142" t="s">
        <v>242</v>
      </c>
      <c r="H14" s="142" t="s">
        <v>243</v>
      </c>
      <c r="I14" s="142" t="s">
        <v>214</v>
      </c>
    </row>
    <row r="15" spans="1:9" ht="21.75" customHeight="1" x14ac:dyDescent="0.25">
      <c r="A15" s="127">
        <v>13</v>
      </c>
      <c r="B15" s="128">
        <v>46188</v>
      </c>
      <c r="C15" s="127" t="s">
        <v>244</v>
      </c>
      <c r="D15" s="145" t="s">
        <v>60</v>
      </c>
      <c r="E15" s="127" t="s">
        <v>61</v>
      </c>
      <c r="F15" s="127" t="s">
        <v>179</v>
      </c>
      <c r="G15" s="127" t="s">
        <v>245</v>
      </c>
      <c r="H15" s="127" t="s">
        <v>246</v>
      </c>
      <c r="I15" s="127" t="s">
        <v>214</v>
      </c>
    </row>
    <row r="16" spans="1:9" ht="21.75" customHeight="1" x14ac:dyDescent="0.25">
      <c r="A16" s="146">
        <v>14</v>
      </c>
      <c r="B16" s="147">
        <v>46188</v>
      </c>
      <c r="C16" s="146" t="s">
        <v>211</v>
      </c>
      <c r="D16" s="148" t="s">
        <v>55</v>
      </c>
      <c r="E16" s="146" t="s">
        <v>56</v>
      </c>
      <c r="F16" s="146" t="s">
        <v>247</v>
      </c>
      <c r="G16" s="146" t="s">
        <v>248</v>
      </c>
      <c r="H16" s="146" t="s">
        <v>249</v>
      </c>
      <c r="I16" s="146" t="s">
        <v>214</v>
      </c>
    </row>
    <row r="17" spans="1:9" ht="21.75" customHeight="1" x14ac:dyDescent="0.25">
      <c r="A17" s="127">
        <v>15</v>
      </c>
      <c r="B17" s="128">
        <v>46188</v>
      </c>
      <c r="C17" s="127" t="s">
        <v>225</v>
      </c>
      <c r="D17" s="145" t="s">
        <v>60</v>
      </c>
      <c r="E17" s="127" t="s">
        <v>63</v>
      </c>
      <c r="F17" s="127" t="s">
        <v>62</v>
      </c>
      <c r="G17" s="127" t="s">
        <v>250</v>
      </c>
      <c r="H17" s="127" t="s">
        <v>251</v>
      </c>
      <c r="I17" s="127" t="s">
        <v>214</v>
      </c>
    </row>
    <row r="18" spans="1:9" ht="21.75" customHeight="1" x14ac:dyDescent="0.25">
      <c r="A18" s="146">
        <v>16</v>
      </c>
      <c r="B18" s="147">
        <v>46188</v>
      </c>
      <c r="C18" s="146" t="s">
        <v>220</v>
      </c>
      <c r="D18" s="148" t="s">
        <v>55</v>
      </c>
      <c r="E18" s="146" t="s">
        <v>58</v>
      </c>
      <c r="F18" s="146" t="s">
        <v>177</v>
      </c>
      <c r="G18" s="146" t="s">
        <v>252</v>
      </c>
      <c r="H18" s="146" t="s">
        <v>222</v>
      </c>
      <c r="I18" s="146" t="s">
        <v>214</v>
      </c>
    </row>
    <row r="19" spans="1:9" ht="21.75" customHeight="1" x14ac:dyDescent="0.25">
      <c r="A19" s="130">
        <v>17</v>
      </c>
      <c r="B19" s="131">
        <v>46189</v>
      </c>
      <c r="C19" s="130" t="s">
        <v>211</v>
      </c>
      <c r="D19" s="149" t="s">
        <v>65</v>
      </c>
      <c r="E19" s="130" t="s">
        <v>66</v>
      </c>
      <c r="F19" s="130" t="s">
        <v>68</v>
      </c>
      <c r="G19" s="130" t="s">
        <v>253</v>
      </c>
      <c r="H19" s="130" t="s">
        <v>227</v>
      </c>
      <c r="I19" s="130" t="s">
        <v>214</v>
      </c>
    </row>
    <row r="20" spans="1:9" ht="21.75" customHeight="1" x14ac:dyDescent="0.25">
      <c r="A20" s="130">
        <v>18</v>
      </c>
      <c r="B20" s="131">
        <v>46189</v>
      </c>
      <c r="C20" s="130" t="s">
        <v>225</v>
      </c>
      <c r="D20" s="149" t="s">
        <v>65</v>
      </c>
      <c r="E20" s="130" t="s">
        <v>187</v>
      </c>
      <c r="F20" s="130" t="s">
        <v>67</v>
      </c>
      <c r="G20" s="130" t="s">
        <v>254</v>
      </c>
      <c r="H20" s="130" t="s">
        <v>229</v>
      </c>
      <c r="I20" s="130" t="s">
        <v>214</v>
      </c>
    </row>
    <row r="21" spans="1:9" ht="21.75" customHeight="1" x14ac:dyDescent="0.25">
      <c r="A21" s="136">
        <v>19</v>
      </c>
      <c r="B21" s="137">
        <v>46189</v>
      </c>
      <c r="C21" s="136" t="s">
        <v>220</v>
      </c>
      <c r="D21" s="150" t="s">
        <v>70</v>
      </c>
      <c r="E21" s="136" t="s">
        <v>71</v>
      </c>
      <c r="F21" s="136" t="s">
        <v>73</v>
      </c>
      <c r="G21" s="136" t="s">
        <v>255</v>
      </c>
      <c r="H21" s="136" t="s">
        <v>256</v>
      </c>
      <c r="I21" s="136" t="s">
        <v>214</v>
      </c>
    </row>
    <row r="22" spans="1:9" ht="21.75" customHeight="1" x14ac:dyDescent="0.25">
      <c r="A22" s="136">
        <v>20</v>
      </c>
      <c r="B22" s="137">
        <v>46189</v>
      </c>
      <c r="C22" s="136" t="s">
        <v>230</v>
      </c>
      <c r="D22" s="150" t="s">
        <v>70</v>
      </c>
      <c r="E22" s="136" t="s">
        <v>72</v>
      </c>
      <c r="F22" s="136" t="s">
        <v>257</v>
      </c>
      <c r="G22" s="136" t="s">
        <v>258</v>
      </c>
      <c r="H22" s="136" t="s">
        <v>224</v>
      </c>
      <c r="I22" s="136" t="s">
        <v>214</v>
      </c>
    </row>
    <row r="23" spans="1:9" ht="21.75" customHeight="1" x14ac:dyDescent="0.25">
      <c r="A23" s="133">
        <v>21</v>
      </c>
      <c r="B23" s="134">
        <v>46190</v>
      </c>
      <c r="C23" s="133" t="s">
        <v>233</v>
      </c>
      <c r="D23" s="151" t="s">
        <v>75</v>
      </c>
      <c r="E23" s="133" t="s">
        <v>76</v>
      </c>
      <c r="F23" s="133" t="s">
        <v>78</v>
      </c>
      <c r="G23" s="133" t="s">
        <v>259</v>
      </c>
      <c r="H23" s="133" t="s">
        <v>235</v>
      </c>
      <c r="I23" s="133" t="s">
        <v>214</v>
      </c>
    </row>
    <row r="24" spans="1:9" ht="21.75" customHeight="1" x14ac:dyDescent="0.25">
      <c r="A24" s="139">
        <v>22</v>
      </c>
      <c r="B24" s="140">
        <v>46190</v>
      </c>
      <c r="C24" s="139" t="s">
        <v>236</v>
      </c>
      <c r="D24" s="152" t="s">
        <v>80</v>
      </c>
      <c r="E24" s="139" t="s">
        <v>82</v>
      </c>
      <c r="F24" s="139" t="s">
        <v>81</v>
      </c>
      <c r="G24" s="139" t="s">
        <v>260</v>
      </c>
      <c r="H24" s="139" t="s">
        <v>238</v>
      </c>
      <c r="I24" s="139" t="s">
        <v>214</v>
      </c>
    </row>
    <row r="25" spans="1:9" ht="21.75" customHeight="1" x14ac:dyDescent="0.25">
      <c r="A25" s="139">
        <v>23</v>
      </c>
      <c r="B25" s="140">
        <v>46190</v>
      </c>
      <c r="C25" s="139" t="s">
        <v>239</v>
      </c>
      <c r="D25" s="152" t="s">
        <v>80</v>
      </c>
      <c r="E25" s="139" t="s">
        <v>200</v>
      </c>
      <c r="F25" s="139" t="s">
        <v>83</v>
      </c>
      <c r="G25" s="139" t="s">
        <v>261</v>
      </c>
      <c r="H25" s="139" t="s">
        <v>219</v>
      </c>
      <c r="I25" s="139" t="s">
        <v>214</v>
      </c>
    </row>
    <row r="26" spans="1:9" ht="21.75" customHeight="1" x14ac:dyDescent="0.25">
      <c r="A26" s="133">
        <v>24</v>
      </c>
      <c r="B26" s="134">
        <v>46190</v>
      </c>
      <c r="C26" s="133" t="s">
        <v>215</v>
      </c>
      <c r="D26" s="151" t="s">
        <v>75</v>
      </c>
      <c r="E26" s="133" t="s">
        <v>196</v>
      </c>
      <c r="F26" s="133" t="s">
        <v>77</v>
      </c>
      <c r="G26" s="133" t="s">
        <v>262</v>
      </c>
      <c r="H26" s="133" t="s">
        <v>213</v>
      </c>
      <c r="I26" s="133" t="s">
        <v>214</v>
      </c>
    </row>
    <row r="27" spans="1:9" ht="21.75" customHeight="1" x14ac:dyDescent="0.25">
      <c r="A27" s="127">
        <v>25</v>
      </c>
      <c r="B27" s="128">
        <v>46191</v>
      </c>
      <c r="C27" s="127" t="s">
        <v>244</v>
      </c>
      <c r="D27" s="129" t="s">
        <v>25</v>
      </c>
      <c r="E27" s="127" t="s">
        <v>28</v>
      </c>
      <c r="F27" s="127" t="s">
        <v>148</v>
      </c>
      <c r="G27" s="127" t="s">
        <v>263</v>
      </c>
      <c r="H27" s="127" t="s">
        <v>246</v>
      </c>
      <c r="I27" s="127" t="s">
        <v>214</v>
      </c>
    </row>
    <row r="28" spans="1:9" ht="21.75" customHeight="1" x14ac:dyDescent="0.25">
      <c r="A28" s="130">
        <v>26</v>
      </c>
      <c r="B28" s="131">
        <v>46191</v>
      </c>
      <c r="C28" s="130" t="s">
        <v>211</v>
      </c>
      <c r="D28" s="132" t="s">
        <v>30</v>
      </c>
      <c r="E28" s="130" t="s">
        <v>31</v>
      </c>
      <c r="F28" s="130" t="s">
        <v>32</v>
      </c>
      <c r="G28" s="130" t="s">
        <v>264</v>
      </c>
      <c r="H28" s="130" t="s">
        <v>222</v>
      </c>
      <c r="I28" s="130" t="s">
        <v>214</v>
      </c>
    </row>
    <row r="29" spans="1:9" ht="21.75" customHeight="1" x14ac:dyDescent="0.25">
      <c r="A29" s="130">
        <v>27</v>
      </c>
      <c r="B29" s="131">
        <v>46191</v>
      </c>
      <c r="C29" s="130" t="s">
        <v>225</v>
      </c>
      <c r="D29" s="132" t="s">
        <v>30</v>
      </c>
      <c r="E29" s="130" t="s">
        <v>33</v>
      </c>
      <c r="F29" s="130" t="s">
        <v>152</v>
      </c>
      <c r="G29" s="130" t="s">
        <v>265</v>
      </c>
      <c r="H29" s="130" t="s">
        <v>232</v>
      </c>
      <c r="I29" s="130" t="s">
        <v>214</v>
      </c>
    </row>
    <row r="30" spans="1:9" ht="21.75" customHeight="1" x14ac:dyDescent="0.25">
      <c r="A30" s="127">
        <v>28</v>
      </c>
      <c r="B30" s="128">
        <v>46191</v>
      </c>
      <c r="C30" s="127" t="s">
        <v>220</v>
      </c>
      <c r="D30" s="129" t="s">
        <v>25</v>
      </c>
      <c r="E30" s="127" t="s">
        <v>27</v>
      </c>
      <c r="F30" s="127" t="s">
        <v>26</v>
      </c>
      <c r="G30" s="127" t="s">
        <v>266</v>
      </c>
      <c r="H30" s="127" t="s">
        <v>217</v>
      </c>
      <c r="I30" s="127" t="s">
        <v>214</v>
      </c>
    </row>
    <row r="31" spans="1:9" ht="21.75" customHeight="1" x14ac:dyDescent="0.25">
      <c r="A31" s="133">
        <v>29</v>
      </c>
      <c r="B31" s="134">
        <v>46192</v>
      </c>
      <c r="C31" s="133" t="s">
        <v>211</v>
      </c>
      <c r="D31" s="135" t="s">
        <v>40</v>
      </c>
      <c r="E31" s="133" t="s">
        <v>42</v>
      </c>
      <c r="F31" s="133" t="s">
        <v>160</v>
      </c>
      <c r="G31" s="133" t="s">
        <v>267</v>
      </c>
      <c r="H31" s="133" t="s">
        <v>249</v>
      </c>
      <c r="I31" s="133" t="s">
        <v>214</v>
      </c>
    </row>
    <row r="32" spans="1:9" ht="21.75" customHeight="1" x14ac:dyDescent="0.25">
      <c r="A32" s="136">
        <v>30</v>
      </c>
      <c r="B32" s="137">
        <v>46192</v>
      </c>
      <c r="C32" s="136" t="s">
        <v>211</v>
      </c>
      <c r="D32" s="138" t="s">
        <v>35</v>
      </c>
      <c r="E32" s="136" t="s">
        <v>38</v>
      </c>
      <c r="F32" s="136" t="s">
        <v>37</v>
      </c>
      <c r="G32" s="136" t="s">
        <v>268</v>
      </c>
      <c r="H32" s="136" t="s">
        <v>229</v>
      </c>
      <c r="I32" s="136" t="s">
        <v>214</v>
      </c>
    </row>
    <row r="33" spans="1:9" ht="21.75" customHeight="1" x14ac:dyDescent="0.25">
      <c r="A33" s="136">
        <v>31</v>
      </c>
      <c r="B33" s="137">
        <v>46192</v>
      </c>
      <c r="C33" s="136" t="s">
        <v>220</v>
      </c>
      <c r="D33" s="138" t="s">
        <v>35</v>
      </c>
      <c r="E33" s="136" t="s">
        <v>36</v>
      </c>
      <c r="F33" s="136" t="s">
        <v>156</v>
      </c>
      <c r="G33" s="136" t="s">
        <v>269</v>
      </c>
      <c r="H33" s="136" t="s">
        <v>241</v>
      </c>
      <c r="I33" s="136" t="s">
        <v>214</v>
      </c>
    </row>
    <row r="34" spans="1:9" ht="21.75" customHeight="1" x14ac:dyDescent="0.25">
      <c r="A34" s="133">
        <v>32</v>
      </c>
      <c r="B34" s="134">
        <v>46192</v>
      </c>
      <c r="C34" s="133" t="s">
        <v>230</v>
      </c>
      <c r="D34" s="135" t="s">
        <v>40</v>
      </c>
      <c r="E34" s="133" t="s">
        <v>41</v>
      </c>
      <c r="F34" s="133" t="s">
        <v>43</v>
      </c>
      <c r="G34" s="133" t="s">
        <v>270</v>
      </c>
      <c r="H34" s="133" t="s">
        <v>224</v>
      </c>
      <c r="I34" s="133" t="s">
        <v>214</v>
      </c>
    </row>
    <row r="35" spans="1:9" ht="21.75" customHeight="1" x14ac:dyDescent="0.25">
      <c r="A35" s="142">
        <v>33</v>
      </c>
      <c r="B35" s="143">
        <v>46193</v>
      </c>
      <c r="C35" s="142" t="s">
        <v>233</v>
      </c>
      <c r="D35" s="144" t="s">
        <v>50</v>
      </c>
      <c r="E35" s="142" t="s">
        <v>51</v>
      </c>
      <c r="F35" s="142" t="s">
        <v>53</v>
      </c>
      <c r="G35" s="142" t="s">
        <v>271</v>
      </c>
      <c r="H35" s="142" t="s">
        <v>235</v>
      </c>
      <c r="I35" s="142" t="s">
        <v>214</v>
      </c>
    </row>
    <row r="36" spans="1:9" ht="21.75" customHeight="1" x14ac:dyDescent="0.25">
      <c r="A36" s="139">
        <v>34</v>
      </c>
      <c r="B36" s="140">
        <v>46193</v>
      </c>
      <c r="C36" s="139" t="s">
        <v>236</v>
      </c>
      <c r="D36" s="141" t="s">
        <v>45</v>
      </c>
      <c r="E36" s="139" t="s">
        <v>46</v>
      </c>
      <c r="F36" s="139" t="s">
        <v>48</v>
      </c>
      <c r="G36" s="139" t="s">
        <v>272</v>
      </c>
      <c r="H36" s="139" t="s">
        <v>219</v>
      </c>
      <c r="I36" s="139" t="s">
        <v>214</v>
      </c>
    </row>
    <row r="37" spans="1:9" ht="21.75" customHeight="1" x14ac:dyDescent="0.25">
      <c r="A37" s="139">
        <v>35</v>
      </c>
      <c r="B37" s="140">
        <v>46193</v>
      </c>
      <c r="C37" s="139" t="s">
        <v>273</v>
      </c>
      <c r="D37" s="141" t="s">
        <v>45</v>
      </c>
      <c r="E37" s="139" t="s">
        <v>47</v>
      </c>
      <c r="F37" s="139" t="s">
        <v>164</v>
      </c>
      <c r="G37" s="139" t="s">
        <v>274</v>
      </c>
      <c r="H37" s="139" t="s">
        <v>256</v>
      </c>
      <c r="I37" s="139" t="s">
        <v>214</v>
      </c>
    </row>
    <row r="38" spans="1:9" ht="21.75" customHeight="1" x14ac:dyDescent="0.25">
      <c r="A38" s="142">
        <v>36</v>
      </c>
      <c r="B38" s="143">
        <v>46193</v>
      </c>
      <c r="C38" s="142" t="s">
        <v>230</v>
      </c>
      <c r="D38" s="144" t="s">
        <v>50</v>
      </c>
      <c r="E38" s="142" t="s">
        <v>172</v>
      </c>
      <c r="F38" s="142" t="s">
        <v>52</v>
      </c>
      <c r="G38" s="142" t="s">
        <v>275</v>
      </c>
      <c r="H38" s="142" t="s">
        <v>243</v>
      </c>
      <c r="I38" s="142" t="s">
        <v>214</v>
      </c>
    </row>
    <row r="39" spans="1:9" ht="21.75" customHeight="1" x14ac:dyDescent="0.25">
      <c r="A39" s="127">
        <v>37</v>
      </c>
      <c r="B39" s="128">
        <v>46194</v>
      </c>
      <c r="C39" s="127" t="s">
        <v>244</v>
      </c>
      <c r="D39" s="145" t="s">
        <v>60</v>
      </c>
      <c r="E39" s="127" t="s">
        <v>61</v>
      </c>
      <c r="F39" s="127" t="s">
        <v>63</v>
      </c>
      <c r="G39" s="127" t="s">
        <v>276</v>
      </c>
      <c r="H39" s="127" t="s">
        <v>246</v>
      </c>
      <c r="I39" s="127" t="s">
        <v>214</v>
      </c>
    </row>
    <row r="40" spans="1:9" ht="21.75" customHeight="1" x14ac:dyDescent="0.25">
      <c r="A40" s="146">
        <v>38</v>
      </c>
      <c r="B40" s="147">
        <v>46194</v>
      </c>
      <c r="C40" s="146" t="s">
        <v>211</v>
      </c>
      <c r="D40" s="148" t="s">
        <v>55</v>
      </c>
      <c r="E40" s="146" t="s">
        <v>56</v>
      </c>
      <c r="F40" s="146" t="s">
        <v>58</v>
      </c>
      <c r="G40" s="146" t="s">
        <v>277</v>
      </c>
      <c r="H40" s="146" t="s">
        <v>222</v>
      </c>
      <c r="I40" s="146" t="s">
        <v>214</v>
      </c>
    </row>
    <row r="41" spans="1:9" ht="21.75" customHeight="1" x14ac:dyDescent="0.25">
      <c r="A41" s="127">
        <v>39</v>
      </c>
      <c r="B41" s="128">
        <v>46194</v>
      </c>
      <c r="C41" s="127" t="s">
        <v>225</v>
      </c>
      <c r="D41" s="145" t="s">
        <v>60</v>
      </c>
      <c r="E41" s="127" t="s">
        <v>62</v>
      </c>
      <c r="F41" s="127" t="s">
        <v>179</v>
      </c>
      <c r="G41" s="127" t="s">
        <v>278</v>
      </c>
      <c r="H41" s="127" t="s">
        <v>251</v>
      </c>
      <c r="I41" s="127" t="s">
        <v>214</v>
      </c>
    </row>
    <row r="42" spans="1:9" ht="21.75" customHeight="1" x14ac:dyDescent="0.25">
      <c r="A42" s="146">
        <v>40</v>
      </c>
      <c r="B42" s="147">
        <v>46194</v>
      </c>
      <c r="C42" s="146" t="s">
        <v>220</v>
      </c>
      <c r="D42" s="148" t="s">
        <v>55</v>
      </c>
      <c r="E42" s="146" t="s">
        <v>177</v>
      </c>
      <c r="F42" s="146" t="s">
        <v>247</v>
      </c>
      <c r="G42" s="146" t="s">
        <v>279</v>
      </c>
      <c r="H42" s="146" t="s">
        <v>232</v>
      </c>
      <c r="I42" s="146" t="s">
        <v>214</v>
      </c>
    </row>
    <row r="43" spans="1:9" ht="21.75" customHeight="1" x14ac:dyDescent="0.25">
      <c r="A43" s="136">
        <v>41</v>
      </c>
      <c r="B43" s="137">
        <v>46195</v>
      </c>
      <c r="C43" s="136" t="s">
        <v>233</v>
      </c>
      <c r="D43" s="150" t="s">
        <v>70</v>
      </c>
      <c r="E43" s="136" t="s">
        <v>71</v>
      </c>
      <c r="F43" s="136" t="s">
        <v>72</v>
      </c>
      <c r="G43" s="136" t="s">
        <v>280</v>
      </c>
      <c r="H43" s="136" t="s">
        <v>238</v>
      </c>
      <c r="I43" s="136" t="s">
        <v>214</v>
      </c>
    </row>
    <row r="44" spans="1:9" ht="21.75" customHeight="1" x14ac:dyDescent="0.25">
      <c r="A44" s="130">
        <v>42</v>
      </c>
      <c r="B44" s="131">
        <v>46195</v>
      </c>
      <c r="C44" s="130" t="s">
        <v>281</v>
      </c>
      <c r="D44" s="149" t="s">
        <v>65</v>
      </c>
      <c r="E44" s="130" t="s">
        <v>66</v>
      </c>
      <c r="F44" s="130" t="s">
        <v>187</v>
      </c>
      <c r="G44" s="130" t="s">
        <v>282</v>
      </c>
      <c r="H44" s="130" t="s">
        <v>241</v>
      </c>
      <c r="I44" s="130" t="s">
        <v>214</v>
      </c>
    </row>
    <row r="45" spans="1:9" ht="21.75" customHeight="1" x14ac:dyDescent="0.25">
      <c r="A45" s="130">
        <v>43</v>
      </c>
      <c r="B45" s="131">
        <v>46195</v>
      </c>
      <c r="C45" s="130" t="s">
        <v>273</v>
      </c>
      <c r="D45" s="149" t="s">
        <v>65</v>
      </c>
      <c r="E45" s="130" t="s">
        <v>67</v>
      </c>
      <c r="F45" s="130" t="s">
        <v>68</v>
      </c>
      <c r="G45" s="130" t="s">
        <v>283</v>
      </c>
      <c r="H45" s="130" t="s">
        <v>227</v>
      </c>
      <c r="I45" s="130" t="s">
        <v>214</v>
      </c>
    </row>
    <row r="46" spans="1:9" ht="21.75" customHeight="1" x14ac:dyDescent="0.25">
      <c r="A46" s="136">
        <v>44</v>
      </c>
      <c r="B46" s="137">
        <v>46195</v>
      </c>
      <c r="C46" s="136" t="s">
        <v>284</v>
      </c>
      <c r="D46" s="150" t="s">
        <v>70</v>
      </c>
      <c r="E46" s="136" t="s">
        <v>257</v>
      </c>
      <c r="F46" s="136" t="s">
        <v>73</v>
      </c>
      <c r="G46" s="136" t="s">
        <v>285</v>
      </c>
      <c r="H46" s="136" t="s">
        <v>224</v>
      </c>
      <c r="I46" s="136" t="s">
        <v>214</v>
      </c>
    </row>
    <row r="47" spans="1:9" ht="21.75" customHeight="1" x14ac:dyDescent="0.25">
      <c r="A47" s="133">
        <v>45</v>
      </c>
      <c r="B47" s="134">
        <v>46196</v>
      </c>
      <c r="C47" s="133" t="s">
        <v>233</v>
      </c>
      <c r="D47" s="151" t="s">
        <v>75</v>
      </c>
      <c r="E47" s="133" t="s">
        <v>76</v>
      </c>
      <c r="F47" s="133" t="s">
        <v>196</v>
      </c>
      <c r="G47" s="133" t="s">
        <v>286</v>
      </c>
      <c r="H47" s="133" t="s">
        <v>235</v>
      </c>
      <c r="I47" s="133" t="s">
        <v>214</v>
      </c>
    </row>
    <row r="48" spans="1:9" ht="21.75" customHeight="1" x14ac:dyDescent="0.25">
      <c r="A48" s="139">
        <v>46</v>
      </c>
      <c r="B48" s="140">
        <v>46196</v>
      </c>
      <c r="C48" s="139" t="s">
        <v>236</v>
      </c>
      <c r="D48" s="152" t="s">
        <v>80</v>
      </c>
      <c r="E48" s="139" t="s">
        <v>82</v>
      </c>
      <c r="F48" s="139" t="s">
        <v>200</v>
      </c>
      <c r="G48" s="139" t="s">
        <v>287</v>
      </c>
      <c r="H48" s="139" t="s">
        <v>229</v>
      </c>
      <c r="I48" s="139" t="s">
        <v>214</v>
      </c>
    </row>
    <row r="49" spans="1:9" ht="21.75" customHeight="1" x14ac:dyDescent="0.25">
      <c r="A49" s="139">
        <v>47</v>
      </c>
      <c r="B49" s="140">
        <v>46196</v>
      </c>
      <c r="C49" s="139" t="s">
        <v>239</v>
      </c>
      <c r="D49" s="152" t="s">
        <v>80</v>
      </c>
      <c r="E49" s="139" t="s">
        <v>83</v>
      </c>
      <c r="F49" s="139" t="s">
        <v>81</v>
      </c>
      <c r="G49" s="139" t="s">
        <v>288</v>
      </c>
      <c r="H49" s="139" t="s">
        <v>219</v>
      </c>
      <c r="I49" s="139" t="s">
        <v>214</v>
      </c>
    </row>
    <row r="50" spans="1:9" ht="21.75" customHeight="1" x14ac:dyDescent="0.25">
      <c r="A50" s="133">
        <v>48</v>
      </c>
      <c r="B50" s="134">
        <v>46196</v>
      </c>
      <c r="C50" s="133" t="s">
        <v>215</v>
      </c>
      <c r="D50" s="151" t="s">
        <v>75</v>
      </c>
      <c r="E50" s="133" t="s">
        <v>77</v>
      </c>
      <c r="F50" s="133" t="s">
        <v>78</v>
      </c>
      <c r="G50" s="133" t="s">
        <v>289</v>
      </c>
      <c r="H50" s="133" t="s">
        <v>217</v>
      </c>
      <c r="I50" s="133" t="s">
        <v>214</v>
      </c>
    </row>
    <row r="51" spans="1:9" ht="21.75" customHeight="1" x14ac:dyDescent="0.25">
      <c r="A51" s="130">
        <v>49</v>
      </c>
      <c r="B51" s="131">
        <v>46197</v>
      </c>
      <c r="C51" s="130" t="s">
        <v>211</v>
      </c>
      <c r="D51" s="132" t="s">
        <v>30</v>
      </c>
      <c r="E51" s="130" t="s">
        <v>31</v>
      </c>
      <c r="F51" s="130" t="s">
        <v>33</v>
      </c>
      <c r="G51" s="130" t="s">
        <v>290</v>
      </c>
      <c r="H51" s="130" t="s">
        <v>232</v>
      </c>
      <c r="I51" s="130" t="s">
        <v>214</v>
      </c>
    </row>
    <row r="52" spans="1:9" ht="21.75" customHeight="1" x14ac:dyDescent="0.25">
      <c r="A52" s="130">
        <v>50</v>
      </c>
      <c r="B52" s="131">
        <v>46197</v>
      </c>
      <c r="C52" s="130" t="s">
        <v>211</v>
      </c>
      <c r="D52" s="132" t="s">
        <v>30</v>
      </c>
      <c r="E52" s="130" t="s">
        <v>32</v>
      </c>
      <c r="F52" s="130" t="s">
        <v>152</v>
      </c>
      <c r="G52" s="130" t="s">
        <v>291</v>
      </c>
      <c r="H52" s="130" t="s">
        <v>249</v>
      </c>
      <c r="I52" s="130" t="s">
        <v>214</v>
      </c>
    </row>
    <row r="53" spans="1:9" ht="21.75" customHeight="1" x14ac:dyDescent="0.25">
      <c r="A53" s="136">
        <v>51</v>
      </c>
      <c r="B53" s="137">
        <v>46197</v>
      </c>
      <c r="C53" s="136" t="s">
        <v>225</v>
      </c>
      <c r="D53" s="138" t="s">
        <v>35</v>
      </c>
      <c r="E53" s="136" t="s">
        <v>36</v>
      </c>
      <c r="F53" s="136" t="s">
        <v>38</v>
      </c>
      <c r="G53" s="136" t="s">
        <v>292</v>
      </c>
      <c r="H53" s="136" t="s">
        <v>251</v>
      </c>
      <c r="I53" s="136" t="s">
        <v>214</v>
      </c>
    </row>
    <row r="54" spans="1:9" ht="21.75" customHeight="1" x14ac:dyDescent="0.25">
      <c r="A54" s="136">
        <v>52</v>
      </c>
      <c r="B54" s="137">
        <v>46197</v>
      </c>
      <c r="C54" s="136" t="s">
        <v>225</v>
      </c>
      <c r="D54" s="138" t="s">
        <v>35</v>
      </c>
      <c r="E54" s="136" t="s">
        <v>37</v>
      </c>
      <c r="F54" s="136" t="s">
        <v>156</v>
      </c>
      <c r="G54" s="136" t="s">
        <v>293</v>
      </c>
      <c r="H54" s="136" t="s">
        <v>246</v>
      </c>
      <c r="I54" s="136" t="s">
        <v>214</v>
      </c>
    </row>
    <row r="55" spans="1:9" ht="21.75" customHeight="1" x14ac:dyDescent="0.25">
      <c r="A55" s="127">
        <v>53</v>
      </c>
      <c r="B55" s="128">
        <v>46197</v>
      </c>
      <c r="C55" s="127" t="s">
        <v>220</v>
      </c>
      <c r="D55" s="129" t="s">
        <v>25</v>
      </c>
      <c r="E55" s="127" t="s">
        <v>27</v>
      </c>
      <c r="F55" s="127" t="s">
        <v>28</v>
      </c>
      <c r="G55" s="127" t="s">
        <v>294</v>
      </c>
      <c r="H55" s="127" t="s">
        <v>213</v>
      </c>
      <c r="I55" s="127" t="s">
        <v>214</v>
      </c>
    </row>
    <row r="56" spans="1:9" ht="21.75" customHeight="1" x14ac:dyDescent="0.25">
      <c r="A56" s="127">
        <v>54</v>
      </c>
      <c r="B56" s="128">
        <v>46197</v>
      </c>
      <c r="C56" s="127" t="s">
        <v>220</v>
      </c>
      <c r="D56" s="129" t="s">
        <v>25</v>
      </c>
      <c r="E56" s="127" t="s">
        <v>26</v>
      </c>
      <c r="F56" s="127" t="s">
        <v>148</v>
      </c>
      <c r="G56" s="127" t="s">
        <v>295</v>
      </c>
      <c r="H56" s="127" t="s">
        <v>243</v>
      </c>
      <c r="I56" s="127" t="s">
        <v>214</v>
      </c>
    </row>
    <row r="57" spans="1:9" ht="21.75" customHeight="1" x14ac:dyDescent="0.25">
      <c r="A57" s="139">
        <v>55</v>
      </c>
      <c r="B57" s="140">
        <v>46198</v>
      </c>
      <c r="C57" s="139" t="s">
        <v>236</v>
      </c>
      <c r="D57" s="141" t="s">
        <v>45</v>
      </c>
      <c r="E57" s="139" t="s">
        <v>47</v>
      </c>
      <c r="F57" s="139" t="s">
        <v>46</v>
      </c>
      <c r="G57" s="139" t="s">
        <v>296</v>
      </c>
      <c r="H57" s="139" t="s">
        <v>227</v>
      </c>
      <c r="I57" s="139" t="s">
        <v>214</v>
      </c>
    </row>
    <row r="58" spans="1:9" ht="21.75" customHeight="1" x14ac:dyDescent="0.25">
      <c r="A58" s="139">
        <v>56</v>
      </c>
      <c r="B58" s="140">
        <v>46198</v>
      </c>
      <c r="C58" s="139" t="s">
        <v>236</v>
      </c>
      <c r="D58" s="141" t="s">
        <v>45</v>
      </c>
      <c r="E58" s="139" t="s">
        <v>164</v>
      </c>
      <c r="F58" s="139" t="s">
        <v>48</v>
      </c>
      <c r="G58" s="139" t="s">
        <v>297</v>
      </c>
      <c r="H58" s="139" t="s">
        <v>241</v>
      </c>
      <c r="I58" s="139" t="s">
        <v>214</v>
      </c>
    </row>
    <row r="59" spans="1:9" ht="21.75" customHeight="1" x14ac:dyDescent="0.25">
      <c r="A59" s="142">
        <v>57</v>
      </c>
      <c r="B59" s="143">
        <v>46198</v>
      </c>
      <c r="C59" s="142" t="s">
        <v>239</v>
      </c>
      <c r="D59" s="144" t="s">
        <v>50</v>
      </c>
      <c r="E59" s="142" t="s">
        <v>172</v>
      </c>
      <c r="F59" s="142" t="s">
        <v>51</v>
      </c>
      <c r="G59" s="142" t="s">
        <v>298</v>
      </c>
      <c r="H59" s="142" t="s">
        <v>256</v>
      </c>
      <c r="I59" s="142" t="s">
        <v>214</v>
      </c>
    </row>
    <row r="60" spans="1:9" ht="21.75" customHeight="1" x14ac:dyDescent="0.25">
      <c r="A60" s="142">
        <v>58</v>
      </c>
      <c r="B60" s="143">
        <v>46198</v>
      </c>
      <c r="C60" s="142" t="s">
        <v>239</v>
      </c>
      <c r="D60" s="144" t="s">
        <v>50</v>
      </c>
      <c r="E60" s="142" t="s">
        <v>52</v>
      </c>
      <c r="F60" s="142" t="s">
        <v>53</v>
      </c>
      <c r="G60" s="142" t="s">
        <v>299</v>
      </c>
      <c r="H60" s="142" t="s">
        <v>238</v>
      </c>
      <c r="I60" s="142" t="s">
        <v>214</v>
      </c>
    </row>
    <row r="61" spans="1:9" ht="21.75" customHeight="1" x14ac:dyDescent="0.25">
      <c r="A61" s="133">
        <v>59</v>
      </c>
      <c r="B61" s="134">
        <v>46198</v>
      </c>
      <c r="C61" s="133" t="s">
        <v>215</v>
      </c>
      <c r="D61" s="135" t="s">
        <v>40</v>
      </c>
      <c r="E61" s="133" t="s">
        <v>42</v>
      </c>
      <c r="F61" s="133" t="s">
        <v>41</v>
      </c>
      <c r="G61" s="133" t="s">
        <v>300</v>
      </c>
      <c r="H61" s="133" t="s">
        <v>222</v>
      </c>
      <c r="I61" s="133" t="s">
        <v>214</v>
      </c>
    </row>
    <row r="62" spans="1:9" ht="21.75" customHeight="1" x14ac:dyDescent="0.25">
      <c r="A62" s="133">
        <v>60</v>
      </c>
      <c r="B62" s="134">
        <v>46198</v>
      </c>
      <c r="C62" s="133" t="s">
        <v>215</v>
      </c>
      <c r="D62" s="135" t="s">
        <v>40</v>
      </c>
      <c r="E62" s="133" t="s">
        <v>43</v>
      </c>
      <c r="F62" s="133" t="s">
        <v>160</v>
      </c>
      <c r="G62" s="133" t="s">
        <v>301</v>
      </c>
      <c r="H62" s="133" t="s">
        <v>224</v>
      </c>
      <c r="I62" s="133" t="s">
        <v>214</v>
      </c>
    </row>
    <row r="63" spans="1:9" ht="21.75" customHeight="1" x14ac:dyDescent="0.25">
      <c r="A63" s="130">
        <v>61</v>
      </c>
      <c r="B63" s="131">
        <v>46199</v>
      </c>
      <c r="C63" s="130" t="s">
        <v>211</v>
      </c>
      <c r="D63" s="149" t="s">
        <v>65</v>
      </c>
      <c r="E63" s="130" t="s">
        <v>67</v>
      </c>
      <c r="F63" s="130" t="s">
        <v>66</v>
      </c>
      <c r="G63" s="130" t="s">
        <v>302</v>
      </c>
      <c r="H63" s="130" t="s">
        <v>229</v>
      </c>
      <c r="I63" s="130" t="s">
        <v>214</v>
      </c>
    </row>
    <row r="64" spans="1:9" ht="21.75" customHeight="1" x14ac:dyDescent="0.25">
      <c r="A64" s="130">
        <v>62</v>
      </c>
      <c r="B64" s="131">
        <v>46199</v>
      </c>
      <c r="C64" s="130" t="s">
        <v>211</v>
      </c>
      <c r="D64" s="149" t="s">
        <v>65</v>
      </c>
      <c r="E64" s="130" t="s">
        <v>68</v>
      </c>
      <c r="F64" s="130" t="s">
        <v>187</v>
      </c>
      <c r="G64" s="130" t="s">
        <v>303</v>
      </c>
      <c r="H64" s="130" t="s">
        <v>219</v>
      </c>
      <c r="I64" s="130" t="s">
        <v>214</v>
      </c>
    </row>
    <row r="65" spans="1:9" ht="21.75" customHeight="1" x14ac:dyDescent="0.25">
      <c r="A65" s="127">
        <v>63</v>
      </c>
      <c r="B65" s="128">
        <v>46199</v>
      </c>
      <c r="C65" s="127" t="s">
        <v>273</v>
      </c>
      <c r="D65" s="145" t="s">
        <v>60</v>
      </c>
      <c r="E65" s="127" t="s">
        <v>62</v>
      </c>
      <c r="F65" s="127" t="s">
        <v>61</v>
      </c>
      <c r="G65" s="127" t="s">
        <v>304</v>
      </c>
      <c r="H65" s="127" t="s">
        <v>217</v>
      </c>
      <c r="I65" s="127" t="s">
        <v>214</v>
      </c>
    </row>
    <row r="66" spans="1:9" ht="21.75" customHeight="1" x14ac:dyDescent="0.25">
      <c r="A66" s="127">
        <v>64</v>
      </c>
      <c r="B66" s="128">
        <v>46199</v>
      </c>
      <c r="C66" s="127" t="s">
        <v>273</v>
      </c>
      <c r="D66" s="145" t="s">
        <v>60</v>
      </c>
      <c r="E66" s="127" t="s">
        <v>179</v>
      </c>
      <c r="F66" s="127" t="s">
        <v>63</v>
      </c>
      <c r="G66" s="127" t="s">
        <v>305</v>
      </c>
      <c r="H66" s="127" t="s">
        <v>235</v>
      </c>
      <c r="I66" s="127" t="s">
        <v>214</v>
      </c>
    </row>
    <row r="67" spans="1:9" ht="21.75" customHeight="1" x14ac:dyDescent="0.25">
      <c r="A67" s="146">
        <v>65</v>
      </c>
      <c r="B67" s="147">
        <v>46199</v>
      </c>
      <c r="C67" s="146" t="s">
        <v>284</v>
      </c>
      <c r="D67" s="148" t="s">
        <v>55</v>
      </c>
      <c r="E67" s="146" t="s">
        <v>177</v>
      </c>
      <c r="F67" s="146" t="s">
        <v>56</v>
      </c>
      <c r="G67" s="146" t="s">
        <v>306</v>
      </c>
      <c r="H67" s="146" t="s">
        <v>232</v>
      </c>
      <c r="I67" s="146" t="s">
        <v>214</v>
      </c>
    </row>
    <row r="68" spans="1:9" ht="21.75" customHeight="1" x14ac:dyDescent="0.25">
      <c r="A68" s="146">
        <v>66</v>
      </c>
      <c r="B68" s="147">
        <v>46199</v>
      </c>
      <c r="C68" s="146" t="s">
        <v>284</v>
      </c>
      <c r="D68" s="148" t="s">
        <v>55</v>
      </c>
      <c r="E68" s="146" t="s">
        <v>247</v>
      </c>
      <c r="F68" s="146" t="s">
        <v>58</v>
      </c>
      <c r="G68" s="146" t="s">
        <v>307</v>
      </c>
      <c r="H68" s="146" t="s">
        <v>249</v>
      </c>
      <c r="I68" s="146" t="s">
        <v>214</v>
      </c>
    </row>
    <row r="69" spans="1:9" ht="21.75" customHeight="1" x14ac:dyDescent="0.25">
      <c r="A69" s="139">
        <v>67</v>
      </c>
      <c r="B69" s="140">
        <v>46200</v>
      </c>
      <c r="C69" s="139" t="s">
        <v>281</v>
      </c>
      <c r="D69" s="152" t="s">
        <v>80</v>
      </c>
      <c r="E69" s="139" t="s">
        <v>83</v>
      </c>
      <c r="F69" s="139" t="s">
        <v>82</v>
      </c>
      <c r="G69" s="139" t="s">
        <v>308</v>
      </c>
      <c r="H69" s="139" t="s">
        <v>227</v>
      </c>
      <c r="I69" s="139" t="s">
        <v>214</v>
      </c>
    </row>
    <row r="70" spans="1:9" ht="21.75" customHeight="1" x14ac:dyDescent="0.25">
      <c r="A70" s="139">
        <v>68</v>
      </c>
      <c r="B70" s="140">
        <v>46200</v>
      </c>
      <c r="C70" s="139" t="s">
        <v>281</v>
      </c>
      <c r="D70" s="152" t="s">
        <v>80</v>
      </c>
      <c r="E70" s="139" t="s">
        <v>81</v>
      </c>
      <c r="F70" s="139" t="s">
        <v>200</v>
      </c>
      <c r="G70" s="139" t="s">
        <v>309</v>
      </c>
      <c r="H70" s="139" t="s">
        <v>241</v>
      </c>
      <c r="I70" s="139" t="s">
        <v>214</v>
      </c>
    </row>
    <row r="71" spans="1:9" ht="21.75" customHeight="1" x14ac:dyDescent="0.25">
      <c r="A71" s="133">
        <v>69</v>
      </c>
      <c r="B71" s="134">
        <v>46200</v>
      </c>
      <c r="C71" s="133" t="s">
        <v>310</v>
      </c>
      <c r="D71" s="151" t="s">
        <v>75</v>
      </c>
      <c r="E71" s="133" t="s">
        <v>77</v>
      </c>
      <c r="F71" s="133" t="s">
        <v>76</v>
      </c>
      <c r="G71" s="133" t="s">
        <v>311</v>
      </c>
      <c r="H71" s="133" t="s">
        <v>251</v>
      </c>
      <c r="I71" s="133" t="s">
        <v>214</v>
      </c>
    </row>
    <row r="72" spans="1:9" ht="21.75" customHeight="1" x14ac:dyDescent="0.25">
      <c r="A72" s="133">
        <v>70</v>
      </c>
      <c r="B72" s="134">
        <v>46200</v>
      </c>
      <c r="C72" s="133" t="s">
        <v>310</v>
      </c>
      <c r="D72" s="151" t="s">
        <v>75</v>
      </c>
      <c r="E72" s="133" t="s">
        <v>78</v>
      </c>
      <c r="F72" s="133" t="s">
        <v>196</v>
      </c>
      <c r="G72" s="133" t="s">
        <v>312</v>
      </c>
      <c r="H72" s="133" t="s">
        <v>246</v>
      </c>
      <c r="I72" s="133" t="s">
        <v>214</v>
      </c>
    </row>
    <row r="73" spans="1:9" ht="21.75" customHeight="1" x14ac:dyDescent="0.25">
      <c r="A73" s="136">
        <v>71</v>
      </c>
      <c r="B73" s="137">
        <v>46200</v>
      </c>
      <c r="C73" s="136" t="s">
        <v>215</v>
      </c>
      <c r="D73" s="150" t="s">
        <v>70</v>
      </c>
      <c r="E73" s="136" t="s">
        <v>71</v>
      </c>
      <c r="F73" s="136" t="s">
        <v>257</v>
      </c>
      <c r="G73" s="136" t="s">
        <v>313</v>
      </c>
      <c r="H73" s="136" t="s">
        <v>238</v>
      </c>
      <c r="I73" s="136" t="s">
        <v>214</v>
      </c>
    </row>
    <row r="74" spans="1:9" ht="21.75" customHeight="1" x14ac:dyDescent="0.25">
      <c r="A74" s="136">
        <v>72</v>
      </c>
      <c r="B74" s="137">
        <v>46200</v>
      </c>
      <c r="C74" s="136" t="s">
        <v>215</v>
      </c>
      <c r="D74" s="150" t="s">
        <v>70</v>
      </c>
      <c r="E74" s="136" t="s">
        <v>73</v>
      </c>
      <c r="F74" s="136" t="s">
        <v>72</v>
      </c>
      <c r="G74" s="136" t="s">
        <v>314</v>
      </c>
      <c r="H74" s="136" t="s">
        <v>256</v>
      </c>
      <c r="I74" s="136" t="s">
        <v>214</v>
      </c>
    </row>
    <row r="75" spans="1:9" ht="15.75" customHeight="1" x14ac:dyDescent="0.25"/>
    <row r="76" spans="1:9" ht="15.75" customHeight="1" x14ac:dyDescent="0.25"/>
    <row r="77" spans="1:9" ht="15.75" customHeight="1" x14ac:dyDescent="0.25"/>
    <row r="78" spans="1:9" ht="15.75" customHeight="1" x14ac:dyDescent="0.25"/>
    <row r="79" spans="1:9" ht="15.75" customHeight="1" x14ac:dyDescent="0.25"/>
    <row r="80" spans="1:9"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I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defaultColWidth="14.42578125" defaultRowHeight="15" customHeight="1" x14ac:dyDescent="0.25"/>
  <cols>
    <col min="1" max="10" width="8.7109375" customWidth="1"/>
    <col min="11" max="11" width="48.28515625" customWidth="1"/>
  </cols>
  <sheetData>
    <row r="1" spans="1:11" x14ac:dyDescent="0.25">
      <c r="A1" s="153" t="s">
        <v>315</v>
      </c>
      <c r="B1" s="153" t="s">
        <v>316</v>
      </c>
      <c r="C1" s="153" t="s">
        <v>317</v>
      </c>
      <c r="D1" s="153" t="s">
        <v>318</v>
      </c>
      <c r="E1" s="153" t="s">
        <v>319</v>
      </c>
      <c r="F1" s="153" t="s">
        <v>320</v>
      </c>
      <c r="G1" s="153" t="s">
        <v>321</v>
      </c>
      <c r="H1" s="153" t="s">
        <v>322</v>
      </c>
      <c r="I1" s="153" t="s">
        <v>323</v>
      </c>
      <c r="J1" s="153" t="s">
        <v>324</v>
      </c>
      <c r="K1" s="153" t="s">
        <v>325</v>
      </c>
    </row>
    <row r="2" spans="1:11" x14ac:dyDescent="0.25">
      <c r="A2" s="153">
        <v>1</v>
      </c>
      <c r="B2" s="153" t="s">
        <v>326</v>
      </c>
      <c r="C2" s="153" t="s">
        <v>327</v>
      </c>
      <c r="D2" s="153" t="s">
        <v>328</v>
      </c>
      <c r="E2" s="153" t="s">
        <v>329</v>
      </c>
      <c r="F2" s="153" t="s">
        <v>330</v>
      </c>
      <c r="G2" s="153" t="s">
        <v>331</v>
      </c>
      <c r="H2" s="153" t="s">
        <v>332</v>
      </c>
      <c r="I2" s="153" t="s">
        <v>333</v>
      </c>
      <c r="J2" s="153" t="s">
        <v>334</v>
      </c>
      <c r="K2" s="153" t="s">
        <v>335</v>
      </c>
    </row>
    <row r="3" spans="1:11" x14ac:dyDescent="0.25">
      <c r="A3" s="153">
        <v>2</v>
      </c>
      <c r="B3" s="153" t="s">
        <v>336</v>
      </c>
      <c r="C3" s="153" t="s">
        <v>331</v>
      </c>
      <c r="D3" s="153" t="s">
        <v>332</v>
      </c>
      <c r="E3" s="153" t="s">
        <v>329</v>
      </c>
      <c r="F3" s="153" t="s">
        <v>337</v>
      </c>
      <c r="G3" s="153" t="s">
        <v>328</v>
      </c>
      <c r="H3" s="153" t="s">
        <v>330</v>
      </c>
      <c r="I3" s="153" t="s">
        <v>333</v>
      </c>
      <c r="J3" s="153" t="s">
        <v>334</v>
      </c>
      <c r="K3" s="153" t="s">
        <v>335</v>
      </c>
    </row>
    <row r="4" spans="1:11" x14ac:dyDescent="0.25">
      <c r="A4" s="153">
        <v>3</v>
      </c>
      <c r="B4" s="153" t="s">
        <v>338</v>
      </c>
      <c r="C4" s="153" t="s">
        <v>327</v>
      </c>
      <c r="D4" s="153" t="s">
        <v>328</v>
      </c>
      <c r="E4" s="153" t="s">
        <v>329</v>
      </c>
      <c r="F4" s="153" t="s">
        <v>337</v>
      </c>
      <c r="G4" s="153" t="s">
        <v>331</v>
      </c>
      <c r="H4" s="153" t="s">
        <v>332</v>
      </c>
      <c r="I4" s="153" t="s">
        <v>333</v>
      </c>
      <c r="J4" s="153" t="s">
        <v>334</v>
      </c>
      <c r="K4" s="153" t="s">
        <v>335</v>
      </c>
    </row>
    <row r="5" spans="1:11" x14ac:dyDescent="0.25">
      <c r="A5" s="153">
        <v>4</v>
      </c>
      <c r="B5" s="153" t="s">
        <v>339</v>
      </c>
      <c r="C5" s="153" t="s">
        <v>327</v>
      </c>
      <c r="D5" s="153" t="s">
        <v>328</v>
      </c>
      <c r="E5" s="153" t="s">
        <v>329</v>
      </c>
      <c r="F5" s="153" t="s">
        <v>337</v>
      </c>
      <c r="G5" s="153" t="s">
        <v>331</v>
      </c>
      <c r="H5" s="153" t="s">
        <v>330</v>
      </c>
      <c r="I5" s="153" t="s">
        <v>333</v>
      </c>
      <c r="J5" s="153" t="s">
        <v>334</v>
      </c>
      <c r="K5" s="153" t="s">
        <v>335</v>
      </c>
    </row>
    <row r="6" spans="1:11" x14ac:dyDescent="0.25">
      <c r="A6" s="153">
        <v>5</v>
      </c>
      <c r="B6" s="153" t="s">
        <v>340</v>
      </c>
      <c r="C6" s="153" t="s">
        <v>327</v>
      </c>
      <c r="D6" s="153" t="s">
        <v>332</v>
      </c>
      <c r="E6" s="153" t="s">
        <v>329</v>
      </c>
      <c r="F6" s="153" t="s">
        <v>337</v>
      </c>
      <c r="G6" s="153" t="s">
        <v>328</v>
      </c>
      <c r="H6" s="153" t="s">
        <v>330</v>
      </c>
      <c r="I6" s="153" t="s">
        <v>333</v>
      </c>
      <c r="J6" s="153" t="s">
        <v>334</v>
      </c>
      <c r="K6" s="153" t="s">
        <v>335</v>
      </c>
    </row>
    <row r="7" spans="1:11" x14ac:dyDescent="0.25">
      <c r="A7" s="153">
        <v>6</v>
      </c>
      <c r="B7" s="153" t="s">
        <v>341</v>
      </c>
      <c r="C7" s="153" t="s">
        <v>327</v>
      </c>
      <c r="D7" s="153" t="s">
        <v>332</v>
      </c>
      <c r="E7" s="153" t="s">
        <v>328</v>
      </c>
      <c r="F7" s="153" t="s">
        <v>337</v>
      </c>
      <c r="G7" s="153" t="s">
        <v>331</v>
      </c>
      <c r="H7" s="153" t="s">
        <v>330</v>
      </c>
      <c r="I7" s="153" t="s">
        <v>333</v>
      </c>
      <c r="J7" s="153" t="s">
        <v>334</v>
      </c>
      <c r="K7" s="153" t="s">
        <v>335</v>
      </c>
    </row>
    <row r="8" spans="1:11" x14ac:dyDescent="0.25">
      <c r="A8" s="153">
        <v>7</v>
      </c>
      <c r="B8" s="153" t="s">
        <v>342</v>
      </c>
      <c r="C8" s="153" t="s">
        <v>327</v>
      </c>
      <c r="D8" s="153" t="s">
        <v>332</v>
      </c>
      <c r="E8" s="153" t="s">
        <v>329</v>
      </c>
      <c r="F8" s="153" t="s">
        <v>337</v>
      </c>
      <c r="G8" s="153" t="s">
        <v>331</v>
      </c>
      <c r="H8" s="153" t="s">
        <v>330</v>
      </c>
      <c r="I8" s="153" t="s">
        <v>333</v>
      </c>
      <c r="J8" s="153" t="s">
        <v>334</v>
      </c>
      <c r="K8" s="153" t="s">
        <v>335</v>
      </c>
    </row>
    <row r="9" spans="1:11" x14ac:dyDescent="0.25">
      <c r="A9" s="153">
        <v>8</v>
      </c>
      <c r="B9" s="153" t="s">
        <v>343</v>
      </c>
      <c r="C9" s="153" t="s">
        <v>327</v>
      </c>
      <c r="D9" s="153" t="s">
        <v>332</v>
      </c>
      <c r="E9" s="153" t="s">
        <v>328</v>
      </c>
      <c r="F9" s="153" t="s">
        <v>337</v>
      </c>
      <c r="G9" s="153" t="s">
        <v>331</v>
      </c>
      <c r="H9" s="153" t="s">
        <v>330</v>
      </c>
      <c r="I9" s="153" t="s">
        <v>333</v>
      </c>
      <c r="J9" s="153" t="s">
        <v>329</v>
      </c>
      <c r="K9" s="153" t="s">
        <v>335</v>
      </c>
    </row>
    <row r="10" spans="1:11" x14ac:dyDescent="0.25">
      <c r="A10" s="153">
        <v>9</v>
      </c>
      <c r="B10" s="153" t="s">
        <v>344</v>
      </c>
      <c r="C10" s="153" t="s">
        <v>327</v>
      </c>
      <c r="D10" s="153" t="s">
        <v>332</v>
      </c>
      <c r="E10" s="153" t="s">
        <v>328</v>
      </c>
      <c r="F10" s="153" t="s">
        <v>337</v>
      </c>
      <c r="G10" s="153" t="s">
        <v>331</v>
      </c>
      <c r="H10" s="153" t="s">
        <v>330</v>
      </c>
      <c r="I10" s="153" t="s">
        <v>329</v>
      </c>
      <c r="J10" s="153" t="s">
        <v>334</v>
      </c>
      <c r="K10" s="153" t="s">
        <v>335</v>
      </c>
    </row>
    <row r="11" spans="1:11" x14ac:dyDescent="0.25">
      <c r="A11" s="153">
        <v>10</v>
      </c>
      <c r="B11" s="153" t="s">
        <v>345</v>
      </c>
      <c r="C11" s="153" t="s">
        <v>331</v>
      </c>
      <c r="D11" s="153" t="s">
        <v>332</v>
      </c>
      <c r="E11" s="153" t="s">
        <v>329</v>
      </c>
      <c r="F11" s="153" t="s">
        <v>346</v>
      </c>
      <c r="G11" s="153" t="s">
        <v>328</v>
      </c>
      <c r="H11" s="153" t="s">
        <v>330</v>
      </c>
      <c r="I11" s="153" t="s">
        <v>333</v>
      </c>
      <c r="J11" s="153" t="s">
        <v>334</v>
      </c>
      <c r="K11" s="153" t="s">
        <v>335</v>
      </c>
    </row>
    <row r="12" spans="1:11" x14ac:dyDescent="0.25">
      <c r="A12" s="153">
        <v>11</v>
      </c>
      <c r="B12" s="153" t="s">
        <v>347</v>
      </c>
      <c r="C12" s="153" t="s">
        <v>327</v>
      </c>
      <c r="D12" s="153" t="s">
        <v>328</v>
      </c>
      <c r="E12" s="153" t="s">
        <v>329</v>
      </c>
      <c r="F12" s="153" t="s">
        <v>346</v>
      </c>
      <c r="G12" s="153" t="s">
        <v>331</v>
      </c>
      <c r="H12" s="153" t="s">
        <v>332</v>
      </c>
      <c r="I12" s="153" t="s">
        <v>333</v>
      </c>
      <c r="J12" s="153" t="s">
        <v>334</v>
      </c>
      <c r="K12" s="153" t="s">
        <v>335</v>
      </c>
    </row>
    <row r="13" spans="1:11" x14ac:dyDescent="0.25">
      <c r="A13" s="153">
        <v>12</v>
      </c>
      <c r="B13" s="153" t="s">
        <v>348</v>
      </c>
      <c r="C13" s="153" t="s">
        <v>327</v>
      </c>
      <c r="D13" s="153" t="s">
        <v>328</v>
      </c>
      <c r="E13" s="153" t="s">
        <v>329</v>
      </c>
      <c r="F13" s="153" t="s">
        <v>346</v>
      </c>
      <c r="G13" s="153" t="s">
        <v>331</v>
      </c>
      <c r="H13" s="153" t="s">
        <v>330</v>
      </c>
      <c r="I13" s="153" t="s">
        <v>333</v>
      </c>
      <c r="J13" s="153" t="s">
        <v>334</v>
      </c>
      <c r="K13" s="153" t="s">
        <v>335</v>
      </c>
    </row>
    <row r="14" spans="1:11" x14ac:dyDescent="0.25">
      <c r="A14" s="153">
        <v>13</v>
      </c>
      <c r="B14" s="153" t="s">
        <v>349</v>
      </c>
      <c r="C14" s="153" t="s">
        <v>327</v>
      </c>
      <c r="D14" s="153" t="s">
        <v>332</v>
      </c>
      <c r="E14" s="153" t="s">
        <v>329</v>
      </c>
      <c r="F14" s="153" t="s">
        <v>346</v>
      </c>
      <c r="G14" s="153" t="s">
        <v>328</v>
      </c>
      <c r="H14" s="153" t="s">
        <v>330</v>
      </c>
      <c r="I14" s="153" t="s">
        <v>333</v>
      </c>
      <c r="J14" s="153" t="s">
        <v>334</v>
      </c>
      <c r="K14" s="153" t="s">
        <v>335</v>
      </c>
    </row>
    <row r="15" spans="1:11" x14ac:dyDescent="0.25">
      <c r="A15" s="153">
        <v>14</v>
      </c>
      <c r="B15" s="153" t="s">
        <v>350</v>
      </c>
      <c r="C15" s="153" t="s">
        <v>327</v>
      </c>
      <c r="D15" s="153" t="s">
        <v>332</v>
      </c>
      <c r="E15" s="153" t="s">
        <v>328</v>
      </c>
      <c r="F15" s="153" t="s">
        <v>346</v>
      </c>
      <c r="G15" s="153" t="s">
        <v>331</v>
      </c>
      <c r="H15" s="153" t="s">
        <v>330</v>
      </c>
      <c r="I15" s="153" t="s">
        <v>333</v>
      </c>
      <c r="J15" s="153" t="s">
        <v>334</v>
      </c>
      <c r="K15" s="153" t="s">
        <v>335</v>
      </c>
    </row>
    <row r="16" spans="1:11" x14ac:dyDescent="0.25">
      <c r="A16" s="153">
        <v>15</v>
      </c>
      <c r="B16" s="153" t="s">
        <v>351</v>
      </c>
      <c r="C16" s="153" t="s">
        <v>327</v>
      </c>
      <c r="D16" s="153" t="s">
        <v>332</v>
      </c>
      <c r="E16" s="153" t="s">
        <v>329</v>
      </c>
      <c r="F16" s="153" t="s">
        <v>346</v>
      </c>
      <c r="G16" s="153" t="s">
        <v>331</v>
      </c>
      <c r="H16" s="153" t="s">
        <v>330</v>
      </c>
      <c r="I16" s="153" t="s">
        <v>333</v>
      </c>
      <c r="J16" s="153" t="s">
        <v>334</v>
      </c>
      <c r="K16" s="153" t="s">
        <v>335</v>
      </c>
    </row>
    <row r="17" spans="1:11" x14ac:dyDescent="0.25">
      <c r="A17" s="153">
        <v>16</v>
      </c>
      <c r="B17" s="153" t="s">
        <v>352</v>
      </c>
      <c r="C17" s="153" t="s">
        <v>327</v>
      </c>
      <c r="D17" s="153" t="s">
        <v>332</v>
      </c>
      <c r="E17" s="153" t="s">
        <v>328</v>
      </c>
      <c r="F17" s="153" t="s">
        <v>346</v>
      </c>
      <c r="G17" s="153" t="s">
        <v>331</v>
      </c>
      <c r="H17" s="153" t="s">
        <v>330</v>
      </c>
      <c r="I17" s="153" t="s">
        <v>333</v>
      </c>
      <c r="J17" s="153" t="s">
        <v>329</v>
      </c>
      <c r="K17" s="153" t="s">
        <v>335</v>
      </c>
    </row>
    <row r="18" spans="1:11" x14ac:dyDescent="0.25">
      <c r="A18" s="153">
        <v>17</v>
      </c>
      <c r="B18" s="153" t="s">
        <v>353</v>
      </c>
      <c r="C18" s="153" t="s">
        <v>327</v>
      </c>
      <c r="D18" s="153" t="s">
        <v>332</v>
      </c>
      <c r="E18" s="153" t="s">
        <v>328</v>
      </c>
      <c r="F18" s="153" t="s">
        <v>346</v>
      </c>
      <c r="G18" s="153" t="s">
        <v>331</v>
      </c>
      <c r="H18" s="153" t="s">
        <v>330</v>
      </c>
      <c r="I18" s="153" t="s">
        <v>329</v>
      </c>
      <c r="J18" s="153" t="s">
        <v>334</v>
      </c>
      <c r="K18" s="153" t="s">
        <v>335</v>
      </c>
    </row>
    <row r="19" spans="1:11" x14ac:dyDescent="0.25">
      <c r="A19" s="153">
        <v>18</v>
      </c>
      <c r="B19" s="153" t="s">
        <v>354</v>
      </c>
      <c r="C19" s="153" t="s">
        <v>331</v>
      </c>
      <c r="D19" s="153" t="s">
        <v>332</v>
      </c>
      <c r="E19" s="153" t="s">
        <v>329</v>
      </c>
      <c r="F19" s="153" t="s">
        <v>346</v>
      </c>
      <c r="G19" s="153" t="s">
        <v>328</v>
      </c>
      <c r="H19" s="153" t="s">
        <v>337</v>
      </c>
      <c r="I19" s="153" t="s">
        <v>333</v>
      </c>
      <c r="J19" s="153" t="s">
        <v>334</v>
      </c>
      <c r="K19" s="153" t="s">
        <v>335</v>
      </c>
    </row>
    <row r="20" spans="1:11" x14ac:dyDescent="0.25">
      <c r="A20" s="153">
        <v>19</v>
      </c>
      <c r="B20" s="153" t="s">
        <v>355</v>
      </c>
      <c r="C20" s="153" t="s">
        <v>346</v>
      </c>
      <c r="D20" s="153" t="s">
        <v>328</v>
      </c>
      <c r="E20" s="153" t="s">
        <v>329</v>
      </c>
      <c r="F20" s="153" t="s">
        <v>337</v>
      </c>
      <c r="G20" s="153" t="s">
        <v>331</v>
      </c>
      <c r="H20" s="153" t="s">
        <v>330</v>
      </c>
      <c r="I20" s="153" t="s">
        <v>333</v>
      </c>
      <c r="J20" s="153" t="s">
        <v>334</v>
      </c>
      <c r="K20" s="153" t="s">
        <v>335</v>
      </c>
    </row>
    <row r="21" spans="1:11" ht="15.75" customHeight="1" x14ac:dyDescent="0.25">
      <c r="A21" s="153">
        <v>20</v>
      </c>
      <c r="B21" s="153" t="s">
        <v>356</v>
      </c>
      <c r="C21" s="153" t="s">
        <v>346</v>
      </c>
      <c r="D21" s="153" t="s">
        <v>332</v>
      </c>
      <c r="E21" s="153" t="s">
        <v>329</v>
      </c>
      <c r="F21" s="153" t="s">
        <v>337</v>
      </c>
      <c r="G21" s="153" t="s">
        <v>328</v>
      </c>
      <c r="H21" s="153" t="s">
        <v>330</v>
      </c>
      <c r="I21" s="153" t="s">
        <v>333</v>
      </c>
      <c r="J21" s="153" t="s">
        <v>334</v>
      </c>
      <c r="K21" s="153" t="s">
        <v>335</v>
      </c>
    </row>
    <row r="22" spans="1:11" ht="15.75" customHeight="1" x14ac:dyDescent="0.25">
      <c r="A22" s="153">
        <v>21</v>
      </c>
      <c r="B22" s="153" t="s">
        <v>357</v>
      </c>
      <c r="C22" s="153" t="s">
        <v>346</v>
      </c>
      <c r="D22" s="153" t="s">
        <v>332</v>
      </c>
      <c r="E22" s="153" t="s">
        <v>328</v>
      </c>
      <c r="F22" s="153" t="s">
        <v>337</v>
      </c>
      <c r="G22" s="153" t="s">
        <v>331</v>
      </c>
      <c r="H22" s="153" t="s">
        <v>330</v>
      </c>
      <c r="I22" s="153" t="s">
        <v>333</v>
      </c>
      <c r="J22" s="153" t="s">
        <v>334</v>
      </c>
      <c r="K22" s="153" t="s">
        <v>335</v>
      </c>
    </row>
    <row r="23" spans="1:11" ht="15.75" customHeight="1" x14ac:dyDescent="0.25">
      <c r="A23" s="153">
        <v>22</v>
      </c>
      <c r="B23" s="153" t="s">
        <v>358</v>
      </c>
      <c r="C23" s="153" t="s">
        <v>346</v>
      </c>
      <c r="D23" s="153" t="s">
        <v>332</v>
      </c>
      <c r="E23" s="153" t="s">
        <v>329</v>
      </c>
      <c r="F23" s="153" t="s">
        <v>337</v>
      </c>
      <c r="G23" s="153" t="s">
        <v>331</v>
      </c>
      <c r="H23" s="153" t="s">
        <v>330</v>
      </c>
      <c r="I23" s="153" t="s">
        <v>333</v>
      </c>
      <c r="J23" s="153" t="s">
        <v>334</v>
      </c>
      <c r="K23" s="153" t="s">
        <v>335</v>
      </c>
    </row>
    <row r="24" spans="1:11" ht="15.75" customHeight="1" x14ac:dyDescent="0.25">
      <c r="A24" s="153">
        <v>23</v>
      </c>
      <c r="B24" s="153" t="s">
        <v>359</v>
      </c>
      <c r="C24" s="153" t="s">
        <v>346</v>
      </c>
      <c r="D24" s="153" t="s">
        <v>332</v>
      </c>
      <c r="E24" s="153" t="s">
        <v>328</v>
      </c>
      <c r="F24" s="153" t="s">
        <v>337</v>
      </c>
      <c r="G24" s="153" t="s">
        <v>331</v>
      </c>
      <c r="H24" s="153" t="s">
        <v>330</v>
      </c>
      <c r="I24" s="153" t="s">
        <v>333</v>
      </c>
      <c r="J24" s="153" t="s">
        <v>329</v>
      </c>
      <c r="K24" s="153" t="s">
        <v>335</v>
      </c>
    </row>
    <row r="25" spans="1:11" ht="15.75" customHeight="1" x14ac:dyDescent="0.25">
      <c r="A25" s="153">
        <v>24</v>
      </c>
      <c r="B25" s="153" t="s">
        <v>360</v>
      </c>
      <c r="C25" s="153" t="s">
        <v>346</v>
      </c>
      <c r="D25" s="153" t="s">
        <v>332</v>
      </c>
      <c r="E25" s="153" t="s">
        <v>328</v>
      </c>
      <c r="F25" s="153" t="s">
        <v>337</v>
      </c>
      <c r="G25" s="153" t="s">
        <v>331</v>
      </c>
      <c r="H25" s="153" t="s">
        <v>330</v>
      </c>
      <c r="I25" s="153" t="s">
        <v>329</v>
      </c>
      <c r="J25" s="153" t="s">
        <v>334</v>
      </c>
      <c r="K25" s="153" t="s">
        <v>335</v>
      </c>
    </row>
    <row r="26" spans="1:11" ht="15.75" customHeight="1" x14ac:dyDescent="0.25">
      <c r="A26" s="153">
        <v>25</v>
      </c>
      <c r="B26" s="153" t="s">
        <v>361</v>
      </c>
      <c r="C26" s="153" t="s">
        <v>327</v>
      </c>
      <c r="D26" s="153" t="s">
        <v>328</v>
      </c>
      <c r="E26" s="153" t="s">
        <v>329</v>
      </c>
      <c r="F26" s="153" t="s">
        <v>346</v>
      </c>
      <c r="G26" s="153" t="s">
        <v>331</v>
      </c>
      <c r="H26" s="153" t="s">
        <v>337</v>
      </c>
      <c r="I26" s="153" t="s">
        <v>333</v>
      </c>
      <c r="J26" s="153" t="s">
        <v>334</v>
      </c>
      <c r="K26" s="153" t="s">
        <v>335</v>
      </c>
    </row>
    <row r="27" spans="1:11" ht="15.75" customHeight="1" x14ac:dyDescent="0.25">
      <c r="A27" s="153">
        <v>26</v>
      </c>
      <c r="B27" s="153" t="s">
        <v>362</v>
      </c>
      <c r="C27" s="153" t="s">
        <v>327</v>
      </c>
      <c r="D27" s="153" t="s">
        <v>332</v>
      </c>
      <c r="E27" s="153" t="s">
        <v>329</v>
      </c>
      <c r="F27" s="153" t="s">
        <v>346</v>
      </c>
      <c r="G27" s="153" t="s">
        <v>328</v>
      </c>
      <c r="H27" s="153" t="s">
        <v>337</v>
      </c>
      <c r="I27" s="153" t="s">
        <v>333</v>
      </c>
      <c r="J27" s="153" t="s">
        <v>334</v>
      </c>
      <c r="K27" s="153" t="s">
        <v>335</v>
      </c>
    </row>
    <row r="28" spans="1:11" ht="15.75" customHeight="1" x14ac:dyDescent="0.25">
      <c r="A28" s="153">
        <v>27</v>
      </c>
      <c r="B28" s="153" t="s">
        <v>363</v>
      </c>
      <c r="C28" s="153" t="s">
        <v>327</v>
      </c>
      <c r="D28" s="153" t="s">
        <v>332</v>
      </c>
      <c r="E28" s="153" t="s">
        <v>328</v>
      </c>
      <c r="F28" s="153" t="s">
        <v>346</v>
      </c>
      <c r="G28" s="153" t="s">
        <v>331</v>
      </c>
      <c r="H28" s="153" t="s">
        <v>337</v>
      </c>
      <c r="I28" s="153" t="s">
        <v>333</v>
      </c>
      <c r="J28" s="153" t="s">
        <v>334</v>
      </c>
      <c r="K28" s="153" t="s">
        <v>335</v>
      </c>
    </row>
    <row r="29" spans="1:11" ht="15.75" customHeight="1" x14ac:dyDescent="0.25">
      <c r="A29" s="153">
        <v>28</v>
      </c>
      <c r="B29" s="153" t="s">
        <v>364</v>
      </c>
      <c r="C29" s="153" t="s">
        <v>327</v>
      </c>
      <c r="D29" s="153" t="s">
        <v>332</v>
      </c>
      <c r="E29" s="153" t="s">
        <v>329</v>
      </c>
      <c r="F29" s="153" t="s">
        <v>346</v>
      </c>
      <c r="G29" s="153" t="s">
        <v>331</v>
      </c>
      <c r="H29" s="153" t="s">
        <v>337</v>
      </c>
      <c r="I29" s="153" t="s">
        <v>333</v>
      </c>
      <c r="J29" s="153" t="s">
        <v>334</v>
      </c>
      <c r="K29" s="153" t="s">
        <v>335</v>
      </c>
    </row>
    <row r="30" spans="1:11" ht="15.75" customHeight="1" x14ac:dyDescent="0.25">
      <c r="A30" s="153">
        <v>29</v>
      </c>
      <c r="B30" s="153" t="s">
        <v>365</v>
      </c>
      <c r="C30" s="153" t="s">
        <v>327</v>
      </c>
      <c r="D30" s="153" t="s">
        <v>332</v>
      </c>
      <c r="E30" s="153" t="s">
        <v>328</v>
      </c>
      <c r="F30" s="153" t="s">
        <v>346</v>
      </c>
      <c r="G30" s="153" t="s">
        <v>331</v>
      </c>
      <c r="H30" s="153" t="s">
        <v>337</v>
      </c>
      <c r="I30" s="153" t="s">
        <v>333</v>
      </c>
      <c r="J30" s="153" t="s">
        <v>329</v>
      </c>
      <c r="K30" s="153" t="s">
        <v>335</v>
      </c>
    </row>
    <row r="31" spans="1:11" ht="15.75" customHeight="1" x14ac:dyDescent="0.25">
      <c r="A31" s="153">
        <v>30</v>
      </c>
      <c r="B31" s="153" t="s">
        <v>366</v>
      </c>
      <c r="C31" s="153" t="s">
        <v>327</v>
      </c>
      <c r="D31" s="153" t="s">
        <v>332</v>
      </c>
      <c r="E31" s="153" t="s">
        <v>328</v>
      </c>
      <c r="F31" s="153" t="s">
        <v>346</v>
      </c>
      <c r="G31" s="153" t="s">
        <v>331</v>
      </c>
      <c r="H31" s="153" t="s">
        <v>337</v>
      </c>
      <c r="I31" s="153" t="s">
        <v>329</v>
      </c>
      <c r="J31" s="153" t="s">
        <v>334</v>
      </c>
      <c r="K31" s="153" t="s">
        <v>335</v>
      </c>
    </row>
    <row r="32" spans="1:11" ht="15.75" customHeight="1" x14ac:dyDescent="0.25">
      <c r="A32" s="153">
        <v>31</v>
      </c>
      <c r="B32" s="153" t="s">
        <v>367</v>
      </c>
      <c r="C32" s="153" t="s">
        <v>346</v>
      </c>
      <c r="D32" s="153" t="s">
        <v>328</v>
      </c>
      <c r="E32" s="153" t="s">
        <v>327</v>
      </c>
      <c r="F32" s="153" t="s">
        <v>337</v>
      </c>
      <c r="G32" s="153" t="s">
        <v>329</v>
      </c>
      <c r="H32" s="153" t="s">
        <v>330</v>
      </c>
      <c r="I32" s="153" t="s">
        <v>333</v>
      </c>
      <c r="J32" s="153" t="s">
        <v>334</v>
      </c>
      <c r="K32" s="153" t="s">
        <v>335</v>
      </c>
    </row>
    <row r="33" spans="1:11" ht="15.75" customHeight="1" x14ac:dyDescent="0.25">
      <c r="A33" s="153">
        <v>32</v>
      </c>
      <c r="B33" s="153" t="s">
        <v>368</v>
      </c>
      <c r="C33" s="153" t="s">
        <v>346</v>
      </c>
      <c r="D33" s="153" t="s">
        <v>328</v>
      </c>
      <c r="E33" s="153" t="s">
        <v>327</v>
      </c>
      <c r="F33" s="153" t="s">
        <v>337</v>
      </c>
      <c r="G33" s="153" t="s">
        <v>331</v>
      </c>
      <c r="H33" s="153" t="s">
        <v>330</v>
      </c>
      <c r="I33" s="153" t="s">
        <v>333</v>
      </c>
      <c r="J33" s="153" t="s">
        <v>334</v>
      </c>
      <c r="K33" s="153" t="s">
        <v>335</v>
      </c>
    </row>
    <row r="34" spans="1:11" ht="15.75" customHeight="1" x14ac:dyDescent="0.25">
      <c r="A34" s="153">
        <v>33</v>
      </c>
      <c r="B34" s="153" t="s">
        <v>369</v>
      </c>
      <c r="C34" s="153" t="s">
        <v>346</v>
      </c>
      <c r="D34" s="153" t="s">
        <v>327</v>
      </c>
      <c r="E34" s="153" t="s">
        <v>329</v>
      </c>
      <c r="F34" s="153" t="s">
        <v>337</v>
      </c>
      <c r="G34" s="153" t="s">
        <v>331</v>
      </c>
      <c r="H34" s="153" t="s">
        <v>330</v>
      </c>
      <c r="I34" s="153" t="s">
        <v>333</v>
      </c>
      <c r="J34" s="153" t="s">
        <v>334</v>
      </c>
      <c r="K34" s="153" t="s">
        <v>335</v>
      </c>
    </row>
    <row r="35" spans="1:11" ht="15.75" customHeight="1" x14ac:dyDescent="0.25">
      <c r="A35" s="153">
        <v>34</v>
      </c>
      <c r="B35" s="153" t="s">
        <v>370</v>
      </c>
      <c r="C35" s="153" t="s">
        <v>346</v>
      </c>
      <c r="D35" s="153" t="s">
        <v>328</v>
      </c>
      <c r="E35" s="153" t="s">
        <v>327</v>
      </c>
      <c r="F35" s="153" t="s">
        <v>337</v>
      </c>
      <c r="G35" s="153" t="s">
        <v>331</v>
      </c>
      <c r="H35" s="153" t="s">
        <v>330</v>
      </c>
      <c r="I35" s="153" t="s">
        <v>333</v>
      </c>
      <c r="J35" s="153" t="s">
        <v>329</v>
      </c>
      <c r="K35" s="153" t="s">
        <v>335</v>
      </c>
    </row>
    <row r="36" spans="1:11" ht="15.75" customHeight="1" x14ac:dyDescent="0.25">
      <c r="A36" s="153">
        <v>35</v>
      </c>
      <c r="B36" s="153" t="s">
        <v>371</v>
      </c>
      <c r="C36" s="153" t="s">
        <v>346</v>
      </c>
      <c r="D36" s="153" t="s">
        <v>328</v>
      </c>
      <c r="E36" s="153" t="s">
        <v>327</v>
      </c>
      <c r="F36" s="153" t="s">
        <v>337</v>
      </c>
      <c r="G36" s="153" t="s">
        <v>331</v>
      </c>
      <c r="H36" s="153" t="s">
        <v>330</v>
      </c>
      <c r="I36" s="153" t="s">
        <v>329</v>
      </c>
      <c r="J36" s="153" t="s">
        <v>334</v>
      </c>
      <c r="K36" s="153" t="s">
        <v>335</v>
      </c>
    </row>
    <row r="37" spans="1:11" ht="15.75" customHeight="1" x14ac:dyDescent="0.25">
      <c r="A37" s="153">
        <v>36</v>
      </c>
      <c r="B37" s="153" t="s">
        <v>372</v>
      </c>
      <c r="C37" s="153" t="s">
        <v>346</v>
      </c>
      <c r="D37" s="153" t="s">
        <v>332</v>
      </c>
      <c r="E37" s="153" t="s">
        <v>327</v>
      </c>
      <c r="F37" s="153" t="s">
        <v>337</v>
      </c>
      <c r="G37" s="153" t="s">
        <v>328</v>
      </c>
      <c r="H37" s="153" t="s">
        <v>330</v>
      </c>
      <c r="I37" s="153" t="s">
        <v>333</v>
      </c>
      <c r="J37" s="153" t="s">
        <v>334</v>
      </c>
      <c r="K37" s="153" t="s">
        <v>335</v>
      </c>
    </row>
    <row r="38" spans="1:11" ht="15.75" customHeight="1" x14ac:dyDescent="0.25">
      <c r="A38" s="153">
        <v>37</v>
      </c>
      <c r="B38" s="153" t="s">
        <v>373</v>
      </c>
      <c r="C38" s="153" t="s">
        <v>346</v>
      </c>
      <c r="D38" s="153" t="s">
        <v>332</v>
      </c>
      <c r="E38" s="153" t="s">
        <v>327</v>
      </c>
      <c r="F38" s="153" t="s">
        <v>337</v>
      </c>
      <c r="G38" s="153" t="s">
        <v>329</v>
      </c>
      <c r="H38" s="153" t="s">
        <v>330</v>
      </c>
      <c r="I38" s="153" t="s">
        <v>333</v>
      </c>
      <c r="J38" s="153" t="s">
        <v>334</v>
      </c>
      <c r="K38" s="153" t="s">
        <v>335</v>
      </c>
    </row>
    <row r="39" spans="1:11" ht="15.75" customHeight="1" x14ac:dyDescent="0.25">
      <c r="A39" s="153">
        <v>38</v>
      </c>
      <c r="B39" s="153" t="s">
        <v>374</v>
      </c>
      <c r="C39" s="153" t="s">
        <v>346</v>
      </c>
      <c r="D39" s="153" t="s">
        <v>332</v>
      </c>
      <c r="E39" s="153" t="s">
        <v>327</v>
      </c>
      <c r="F39" s="153" t="s">
        <v>337</v>
      </c>
      <c r="G39" s="153" t="s">
        <v>328</v>
      </c>
      <c r="H39" s="153" t="s">
        <v>330</v>
      </c>
      <c r="I39" s="153" t="s">
        <v>333</v>
      </c>
      <c r="J39" s="153" t="s">
        <v>329</v>
      </c>
      <c r="K39" s="153" t="s">
        <v>335</v>
      </c>
    </row>
    <row r="40" spans="1:11" ht="15.75" customHeight="1" x14ac:dyDescent="0.25">
      <c r="A40" s="153">
        <v>39</v>
      </c>
      <c r="B40" s="153" t="s">
        <v>375</v>
      </c>
      <c r="C40" s="153" t="s">
        <v>346</v>
      </c>
      <c r="D40" s="153" t="s">
        <v>332</v>
      </c>
      <c r="E40" s="153" t="s">
        <v>327</v>
      </c>
      <c r="F40" s="153" t="s">
        <v>337</v>
      </c>
      <c r="G40" s="153" t="s">
        <v>328</v>
      </c>
      <c r="H40" s="153" t="s">
        <v>330</v>
      </c>
      <c r="I40" s="153" t="s">
        <v>329</v>
      </c>
      <c r="J40" s="153" t="s">
        <v>334</v>
      </c>
      <c r="K40" s="153" t="s">
        <v>335</v>
      </c>
    </row>
    <row r="41" spans="1:11" ht="15.75" customHeight="1" x14ac:dyDescent="0.25">
      <c r="A41" s="153">
        <v>40</v>
      </c>
      <c r="B41" s="153" t="s">
        <v>376</v>
      </c>
      <c r="C41" s="153" t="s">
        <v>346</v>
      </c>
      <c r="D41" s="153" t="s">
        <v>332</v>
      </c>
      <c r="E41" s="153" t="s">
        <v>327</v>
      </c>
      <c r="F41" s="153" t="s">
        <v>337</v>
      </c>
      <c r="G41" s="153" t="s">
        <v>331</v>
      </c>
      <c r="H41" s="153" t="s">
        <v>330</v>
      </c>
      <c r="I41" s="153" t="s">
        <v>333</v>
      </c>
      <c r="J41" s="153" t="s">
        <v>334</v>
      </c>
      <c r="K41" s="153" t="s">
        <v>335</v>
      </c>
    </row>
    <row r="42" spans="1:11" ht="15.75" customHeight="1" x14ac:dyDescent="0.25">
      <c r="A42" s="153">
        <v>41</v>
      </c>
      <c r="B42" s="153" t="s">
        <v>377</v>
      </c>
      <c r="C42" s="153" t="s">
        <v>346</v>
      </c>
      <c r="D42" s="153" t="s">
        <v>332</v>
      </c>
      <c r="E42" s="153" t="s">
        <v>328</v>
      </c>
      <c r="F42" s="153" t="s">
        <v>337</v>
      </c>
      <c r="G42" s="153" t="s">
        <v>331</v>
      </c>
      <c r="H42" s="153" t="s">
        <v>330</v>
      </c>
      <c r="I42" s="153" t="s">
        <v>333</v>
      </c>
      <c r="J42" s="153" t="s">
        <v>327</v>
      </c>
      <c r="K42" s="153" t="s">
        <v>335</v>
      </c>
    </row>
    <row r="43" spans="1:11" ht="15.75" customHeight="1" x14ac:dyDescent="0.25">
      <c r="A43" s="153">
        <v>42</v>
      </c>
      <c r="B43" s="153" t="s">
        <v>378</v>
      </c>
      <c r="C43" s="153" t="s">
        <v>346</v>
      </c>
      <c r="D43" s="153" t="s">
        <v>332</v>
      </c>
      <c r="E43" s="153" t="s">
        <v>328</v>
      </c>
      <c r="F43" s="153" t="s">
        <v>337</v>
      </c>
      <c r="G43" s="153" t="s">
        <v>331</v>
      </c>
      <c r="H43" s="153" t="s">
        <v>330</v>
      </c>
      <c r="I43" s="153" t="s">
        <v>327</v>
      </c>
      <c r="J43" s="153" t="s">
        <v>334</v>
      </c>
      <c r="K43" s="153" t="s">
        <v>335</v>
      </c>
    </row>
    <row r="44" spans="1:11" ht="15.75" customHeight="1" x14ac:dyDescent="0.25">
      <c r="A44" s="153">
        <v>43</v>
      </c>
      <c r="B44" s="153" t="s">
        <v>379</v>
      </c>
      <c r="C44" s="153" t="s">
        <v>346</v>
      </c>
      <c r="D44" s="153" t="s">
        <v>332</v>
      </c>
      <c r="E44" s="153" t="s">
        <v>327</v>
      </c>
      <c r="F44" s="153" t="s">
        <v>337</v>
      </c>
      <c r="G44" s="153" t="s">
        <v>331</v>
      </c>
      <c r="H44" s="153" t="s">
        <v>330</v>
      </c>
      <c r="I44" s="153" t="s">
        <v>333</v>
      </c>
      <c r="J44" s="153" t="s">
        <v>329</v>
      </c>
      <c r="K44" s="153" t="s">
        <v>335</v>
      </c>
    </row>
    <row r="45" spans="1:11" ht="15.75" customHeight="1" x14ac:dyDescent="0.25">
      <c r="A45" s="153">
        <v>44</v>
      </c>
      <c r="B45" s="153" t="s">
        <v>380</v>
      </c>
      <c r="C45" s="153" t="s">
        <v>346</v>
      </c>
      <c r="D45" s="153" t="s">
        <v>332</v>
      </c>
      <c r="E45" s="153" t="s">
        <v>327</v>
      </c>
      <c r="F45" s="153" t="s">
        <v>337</v>
      </c>
      <c r="G45" s="153" t="s">
        <v>331</v>
      </c>
      <c r="H45" s="153" t="s">
        <v>330</v>
      </c>
      <c r="I45" s="153" t="s">
        <v>329</v>
      </c>
      <c r="J45" s="153" t="s">
        <v>334</v>
      </c>
      <c r="K45" s="153" t="s">
        <v>335</v>
      </c>
    </row>
    <row r="46" spans="1:11" ht="15.75" customHeight="1" x14ac:dyDescent="0.25">
      <c r="A46" s="153">
        <v>45</v>
      </c>
      <c r="B46" s="153" t="s">
        <v>381</v>
      </c>
      <c r="C46" s="153" t="s">
        <v>346</v>
      </c>
      <c r="D46" s="153" t="s">
        <v>332</v>
      </c>
      <c r="E46" s="153" t="s">
        <v>328</v>
      </c>
      <c r="F46" s="153" t="s">
        <v>337</v>
      </c>
      <c r="G46" s="153" t="s">
        <v>331</v>
      </c>
      <c r="H46" s="153" t="s">
        <v>330</v>
      </c>
      <c r="I46" s="153" t="s">
        <v>327</v>
      </c>
      <c r="J46" s="153" t="s">
        <v>329</v>
      </c>
      <c r="K46" s="153" t="s">
        <v>335</v>
      </c>
    </row>
    <row r="47" spans="1:11" ht="15.75" customHeight="1" x14ac:dyDescent="0.25">
      <c r="A47" s="153">
        <v>46</v>
      </c>
      <c r="B47" s="153" t="s">
        <v>382</v>
      </c>
      <c r="C47" s="153" t="s">
        <v>331</v>
      </c>
      <c r="D47" s="153" t="s">
        <v>328</v>
      </c>
      <c r="E47" s="153" t="s">
        <v>383</v>
      </c>
      <c r="F47" s="153" t="s">
        <v>330</v>
      </c>
      <c r="G47" s="153" t="s">
        <v>329</v>
      </c>
      <c r="H47" s="153" t="s">
        <v>332</v>
      </c>
      <c r="I47" s="153" t="s">
        <v>333</v>
      </c>
      <c r="J47" s="153" t="s">
        <v>334</v>
      </c>
      <c r="K47" s="153" t="s">
        <v>335</v>
      </c>
    </row>
    <row r="48" spans="1:11" ht="15.75" customHeight="1" x14ac:dyDescent="0.25">
      <c r="A48" s="153">
        <v>47</v>
      </c>
      <c r="B48" s="153" t="s">
        <v>384</v>
      </c>
      <c r="C48" s="153" t="s">
        <v>327</v>
      </c>
      <c r="D48" s="153" t="s">
        <v>328</v>
      </c>
      <c r="E48" s="153" t="s">
        <v>329</v>
      </c>
      <c r="F48" s="153" t="s">
        <v>383</v>
      </c>
      <c r="G48" s="153" t="s">
        <v>331</v>
      </c>
      <c r="H48" s="153" t="s">
        <v>332</v>
      </c>
      <c r="I48" s="153" t="s">
        <v>333</v>
      </c>
      <c r="J48" s="153" t="s">
        <v>334</v>
      </c>
      <c r="K48" s="153" t="s">
        <v>335</v>
      </c>
    </row>
    <row r="49" spans="1:11" ht="15.75" customHeight="1" x14ac:dyDescent="0.25">
      <c r="A49" s="153">
        <v>48</v>
      </c>
      <c r="B49" s="153" t="s">
        <v>385</v>
      </c>
      <c r="C49" s="153" t="s">
        <v>327</v>
      </c>
      <c r="D49" s="153" t="s">
        <v>328</v>
      </c>
      <c r="E49" s="153" t="s">
        <v>383</v>
      </c>
      <c r="F49" s="153" t="s">
        <v>330</v>
      </c>
      <c r="G49" s="153" t="s">
        <v>329</v>
      </c>
      <c r="H49" s="153" t="s">
        <v>331</v>
      </c>
      <c r="I49" s="153" t="s">
        <v>333</v>
      </c>
      <c r="J49" s="153" t="s">
        <v>334</v>
      </c>
      <c r="K49" s="153" t="s">
        <v>335</v>
      </c>
    </row>
    <row r="50" spans="1:11" ht="15.75" customHeight="1" x14ac:dyDescent="0.25">
      <c r="A50" s="153">
        <v>49</v>
      </c>
      <c r="B50" s="153" t="s">
        <v>386</v>
      </c>
      <c r="C50" s="153" t="s">
        <v>327</v>
      </c>
      <c r="D50" s="153" t="s">
        <v>328</v>
      </c>
      <c r="E50" s="153" t="s">
        <v>383</v>
      </c>
      <c r="F50" s="153" t="s">
        <v>330</v>
      </c>
      <c r="G50" s="153" t="s">
        <v>329</v>
      </c>
      <c r="H50" s="153" t="s">
        <v>332</v>
      </c>
      <c r="I50" s="153" t="s">
        <v>333</v>
      </c>
      <c r="J50" s="153" t="s">
        <v>334</v>
      </c>
      <c r="K50" s="153" t="s">
        <v>335</v>
      </c>
    </row>
    <row r="51" spans="1:11" ht="15.75" customHeight="1" x14ac:dyDescent="0.25">
      <c r="A51" s="153">
        <v>50</v>
      </c>
      <c r="B51" s="153" t="s">
        <v>387</v>
      </c>
      <c r="C51" s="153" t="s">
        <v>327</v>
      </c>
      <c r="D51" s="153" t="s">
        <v>328</v>
      </c>
      <c r="E51" s="153" t="s">
        <v>383</v>
      </c>
      <c r="F51" s="153" t="s">
        <v>330</v>
      </c>
      <c r="G51" s="153" t="s">
        <v>331</v>
      </c>
      <c r="H51" s="153" t="s">
        <v>332</v>
      </c>
      <c r="I51" s="153" t="s">
        <v>333</v>
      </c>
      <c r="J51" s="153" t="s">
        <v>334</v>
      </c>
      <c r="K51" s="153" t="s">
        <v>335</v>
      </c>
    </row>
    <row r="52" spans="1:11" ht="15.75" customHeight="1" x14ac:dyDescent="0.25">
      <c r="A52" s="153">
        <v>51</v>
      </c>
      <c r="B52" s="153" t="s">
        <v>388</v>
      </c>
      <c r="C52" s="153" t="s">
        <v>327</v>
      </c>
      <c r="D52" s="153" t="s">
        <v>332</v>
      </c>
      <c r="E52" s="153" t="s">
        <v>383</v>
      </c>
      <c r="F52" s="153" t="s">
        <v>330</v>
      </c>
      <c r="G52" s="153" t="s">
        <v>329</v>
      </c>
      <c r="H52" s="153" t="s">
        <v>331</v>
      </c>
      <c r="I52" s="153" t="s">
        <v>333</v>
      </c>
      <c r="J52" s="153" t="s">
        <v>334</v>
      </c>
      <c r="K52" s="153" t="s">
        <v>335</v>
      </c>
    </row>
    <row r="53" spans="1:11" ht="15.75" customHeight="1" x14ac:dyDescent="0.25">
      <c r="A53" s="153">
        <v>52</v>
      </c>
      <c r="B53" s="153" t="s">
        <v>389</v>
      </c>
      <c r="C53" s="153" t="s">
        <v>327</v>
      </c>
      <c r="D53" s="153" t="s">
        <v>328</v>
      </c>
      <c r="E53" s="153" t="s">
        <v>383</v>
      </c>
      <c r="F53" s="153" t="s">
        <v>330</v>
      </c>
      <c r="G53" s="153" t="s">
        <v>331</v>
      </c>
      <c r="H53" s="153" t="s">
        <v>332</v>
      </c>
      <c r="I53" s="153" t="s">
        <v>333</v>
      </c>
      <c r="J53" s="153" t="s">
        <v>329</v>
      </c>
      <c r="K53" s="153" t="s">
        <v>335</v>
      </c>
    </row>
    <row r="54" spans="1:11" ht="15.75" customHeight="1" x14ac:dyDescent="0.25">
      <c r="A54" s="153">
        <v>53</v>
      </c>
      <c r="B54" s="153" t="s">
        <v>390</v>
      </c>
      <c r="C54" s="153" t="s">
        <v>327</v>
      </c>
      <c r="D54" s="153" t="s">
        <v>328</v>
      </c>
      <c r="E54" s="153" t="s">
        <v>383</v>
      </c>
      <c r="F54" s="153" t="s">
        <v>330</v>
      </c>
      <c r="G54" s="153" t="s">
        <v>331</v>
      </c>
      <c r="H54" s="153" t="s">
        <v>332</v>
      </c>
      <c r="I54" s="153" t="s">
        <v>329</v>
      </c>
      <c r="J54" s="153" t="s">
        <v>334</v>
      </c>
      <c r="K54" s="153" t="s">
        <v>335</v>
      </c>
    </row>
    <row r="55" spans="1:11" ht="15.75" customHeight="1" x14ac:dyDescent="0.25">
      <c r="A55" s="153">
        <v>54</v>
      </c>
      <c r="B55" s="153" t="s">
        <v>391</v>
      </c>
      <c r="C55" s="153" t="s">
        <v>331</v>
      </c>
      <c r="D55" s="153" t="s">
        <v>328</v>
      </c>
      <c r="E55" s="153" t="s">
        <v>383</v>
      </c>
      <c r="F55" s="153" t="s">
        <v>337</v>
      </c>
      <c r="G55" s="153" t="s">
        <v>329</v>
      </c>
      <c r="H55" s="153" t="s">
        <v>332</v>
      </c>
      <c r="I55" s="153" t="s">
        <v>333</v>
      </c>
      <c r="J55" s="153" t="s">
        <v>334</v>
      </c>
      <c r="K55" s="153" t="s">
        <v>335</v>
      </c>
    </row>
    <row r="56" spans="1:11" ht="15.75" customHeight="1" x14ac:dyDescent="0.25">
      <c r="A56" s="153">
        <v>55</v>
      </c>
      <c r="B56" s="153" t="s">
        <v>392</v>
      </c>
      <c r="C56" s="153" t="s">
        <v>331</v>
      </c>
      <c r="D56" s="153" t="s">
        <v>328</v>
      </c>
      <c r="E56" s="153" t="s">
        <v>383</v>
      </c>
      <c r="F56" s="153" t="s">
        <v>337</v>
      </c>
      <c r="G56" s="153" t="s">
        <v>329</v>
      </c>
      <c r="H56" s="153" t="s">
        <v>330</v>
      </c>
      <c r="I56" s="153" t="s">
        <v>333</v>
      </c>
      <c r="J56" s="153" t="s">
        <v>334</v>
      </c>
      <c r="K56" s="153" t="s">
        <v>335</v>
      </c>
    </row>
    <row r="57" spans="1:11" ht="15.75" customHeight="1" x14ac:dyDescent="0.25">
      <c r="A57" s="153">
        <v>56</v>
      </c>
      <c r="B57" s="153" t="s">
        <v>393</v>
      </c>
      <c r="C57" s="153" t="s">
        <v>329</v>
      </c>
      <c r="D57" s="153" t="s">
        <v>332</v>
      </c>
      <c r="E57" s="153" t="s">
        <v>383</v>
      </c>
      <c r="F57" s="153" t="s">
        <v>337</v>
      </c>
      <c r="G57" s="153" t="s">
        <v>328</v>
      </c>
      <c r="H57" s="153" t="s">
        <v>330</v>
      </c>
      <c r="I57" s="153" t="s">
        <v>333</v>
      </c>
      <c r="J57" s="153" t="s">
        <v>334</v>
      </c>
      <c r="K57" s="153" t="s">
        <v>335</v>
      </c>
    </row>
    <row r="58" spans="1:11" ht="15.75" customHeight="1" x14ac:dyDescent="0.25">
      <c r="A58" s="153">
        <v>57</v>
      </c>
      <c r="B58" s="153" t="s">
        <v>394</v>
      </c>
      <c r="C58" s="153" t="s">
        <v>331</v>
      </c>
      <c r="D58" s="153" t="s">
        <v>332</v>
      </c>
      <c r="E58" s="153" t="s">
        <v>383</v>
      </c>
      <c r="F58" s="153" t="s">
        <v>337</v>
      </c>
      <c r="G58" s="153" t="s">
        <v>328</v>
      </c>
      <c r="H58" s="153" t="s">
        <v>330</v>
      </c>
      <c r="I58" s="153" t="s">
        <v>333</v>
      </c>
      <c r="J58" s="153" t="s">
        <v>334</v>
      </c>
      <c r="K58" s="153" t="s">
        <v>335</v>
      </c>
    </row>
    <row r="59" spans="1:11" ht="15.75" customHeight="1" x14ac:dyDescent="0.25">
      <c r="A59" s="153">
        <v>58</v>
      </c>
      <c r="B59" s="153" t="s">
        <v>395</v>
      </c>
      <c r="C59" s="153" t="s">
        <v>331</v>
      </c>
      <c r="D59" s="153" t="s">
        <v>332</v>
      </c>
      <c r="E59" s="153" t="s">
        <v>383</v>
      </c>
      <c r="F59" s="153" t="s">
        <v>337</v>
      </c>
      <c r="G59" s="153" t="s">
        <v>329</v>
      </c>
      <c r="H59" s="153" t="s">
        <v>330</v>
      </c>
      <c r="I59" s="153" t="s">
        <v>333</v>
      </c>
      <c r="J59" s="153" t="s">
        <v>334</v>
      </c>
      <c r="K59" s="153" t="s">
        <v>335</v>
      </c>
    </row>
    <row r="60" spans="1:11" ht="15.75" customHeight="1" x14ac:dyDescent="0.25">
      <c r="A60" s="153">
        <v>59</v>
      </c>
      <c r="B60" s="153" t="s">
        <v>396</v>
      </c>
      <c r="C60" s="153" t="s">
        <v>331</v>
      </c>
      <c r="D60" s="153" t="s">
        <v>332</v>
      </c>
      <c r="E60" s="153" t="s">
        <v>383</v>
      </c>
      <c r="F60" s="153" t="s">
        <v>337</v>
      </c>
      <c r="G60" s="153" t="s">
        <v>328</v>
      </c>
      <c r="H60" s="153" t="s">
        <v>330</v>
      </c>
      <c r="I60" s="153" t="s">
        <v>333</v>
      </c>
      <c r="J60" s="153" t="s">
        <v>329</v>
      </c>
      <c r="K60" s="153" t="s">
        <v>335</v>
      </c>
    </row>
    <row r="61" spans="1:11" ht="15.75" customHeight="1" x14ac:dyDescent="0.25">
      <c r="A61" s="153">
        <v>60</v>
      </c>
      <c r="B61" s="153" t="s">
        <v>397</v>
      </c>
      <c r="C61" s="153" t="s">
        <v>331</v>
      </c>
      <c r="D61" s="153" t="s">
        <v>332</v>
      </c>
      <c r="E61" s="153" t="s">
        <v>383</v>
      </c>
      <c r="F61" s="153" t="s">
        <v>337</v>
      </c>
      <c r="G61" s="153" t="s">
        <v>328</v>
      </c>
      <c r="H61" s="153" t="s">
        <v>330</v>
      </c>
      <c r="I61" s="153" t="s">
        <v>329</v>
      </c>
      <c r="J61" s="153" t="s">
        <v>334</v>
      </c>
      <c r="K61" s="153" t="s">
        <v>335</v>
      </c>
    </row>
    <row r="62" spans="1:11" ht="15.75" customHeight="1" x14ac:dyDescent="0.25">
      <c r="A62" s="153">
        <v>61</v>
      </c>
      <c r="B62" s="153" t="s">
        <v>398</v>
      </c>
      <c r="C62" s="153" t="s">
        <v>327</v>
      </c>
      <c r="D62" s="153" t="s">
        <v>328</v>
      </c>
      <c r="E62" s="153" t="s">
        <v>383</v>
      </c>
      <c r="F62" s="153" t="s">
        <v>337</v>
      </c>
      <c r="G62" s="153" t="s">
        <v>329</v>
      </c>
      <c r="H62" s="153" t="s">
        <v>331</v>
      </c>
      <c r="I62" s="153" t="s">
        <v>333</v>
      </c>
      <c r="J62" s="153" t="s">
        <v>334</v>
      </c>
      <c r="K62" s="153" t="s">
        <v>335</v>
      </c>
    </row>
    <row r="63" spans="1:11" ht="15.75" customHeight="1" x14ac:dyDescent="0.25">
      <c r="A63" s="153">
        <v>62</v>
      </c>
      <c r="B63" s="153" t="s">
        <v>399</v>
      </c>
      <c r="C63" s="153" t="s">
        <v>327</v>
      </c>
      <c r="D63" s="153" t="s">
        <v>328</v>
      </c>
      <c r="E63" s="153" t="s">
        <v>383</v>
      </c>
      <c r="F63" s="153" t="s">
        <v>337</v>
      </c>
      <c r="G63" s="153" t="s">
        <v>329</v>
      </c>
      <c r="H63" s="153" t="s">
        <v>332</v>
      </c>
      <c r="I63" s="153" t="s">
        <v>333</v>
      </c>
      <c r="J63" s="153" t="s">
        <v>334</v>
      </c>
      <c r="K63" s="153" t="s">
        <v>335</v>
      </c>
    </row>
    <row r="64" spans="1:11" ht="15.75" customHeight="1" x14ac:dyDescent="0.25">
      <c r="A64" s="153">
        <v>63</v>
      </c>
      <c r="B64" s="153" t="s">
        <v>400</v>
      </c>
      <c r="C64" s="153" t="s">
        <v>327</v>
      </c>
      <c r="D64" s="153" t="s">
        <v>328</v>
      </c>
      <c r="E64" s="153" t="s">
        <v>383</v>
      </c>
      <c r="F64" s="153" t="s">
        <v>337</v>
      </c>
      <c r="G64" s="153" t="s">
        <v>331</v>
      </c>
      <c r="H64" s="153" t="s">
        <v>332</v>
      </c>
      <c r="I64" s="153" t="s">
        <v>333</v>
      </c>
      <c r="J64" s="153" t="s">
        <v>334</v>
      </c>
      <c r="K64" s="153" t="s">
        <v>335</v>
      </c>
    </row>
    <row r="65" spans="1:11" ht="15.75" customHeight="1" x14ac:dyDescent="0.25">
      <c r="A65" s="153">
        <v>64</v>
      </c>
      <c r="B65" s="153" t="s">
        <v>401</v>
      </c>
      <c r="C65" s="153" t="s">
        <v>327</v>
      </c>
      <c r="D65" s="153" t="s">
        <v>332</v>
      </c>
      <c r="E65" s="153" t="s">
        <v>383</v>
      </c>
      <c r="F65" s="153" t="s">
        <v>337</v>
      </c>
      <c r="G65" s="153" t="s">
        <v>329</v>
      </c>
      <c r="H65" s="153" t="s">
        <v>331</v>
      </c>
      <c r="I65" s="153" t="s">
        <v>333</v>
      </c>
      <c r="J65" s="153" t="s">
        <v>334</v>
      </c>
      <c r="K65" s="153" t="s">
        <v>335</v>
      </c>
    </row>
    <row r="66" spans="1:11" ht="15.75" customHeight="1" x14ac:dyDescent="0.25">
      <c r="A66" s="153">
        <v>65</v>
      </c>
      <c r="B66" s="153" t="s">
        <v>402</v>
      </c>
      <c r="C66" s="153" t="s">
        <v>327</v>
      </c>
      <c r="D66" s="153" t="s">
        <v>328</v>
      </c>
      <c r="E66" s="153" t="s">
        <v>383</v>
      </c>
      <c r="F66" s="153" t="s">
        <v>337</v>
      </c>
      <c r="G66" s="153" t="s">
        <v>331</v>
      </c>
      <c r="H66" s="153" t="s">
        <v>332</v>
      </c>
      <c r="I66" s="153" t="s">
        <v>333</v>
      </c>
      <c r="J66" s="153" t="s">
        <v>329</v>
      </c>
      <c r="K66" s="153" t="s">
        <v>335</v>
      </c>
    </row>
    <row r="67" spans="1:11" ht="15.75" customHeight="1" x14ac:dyDescent="0.25">
      <c r="A67" s="153">
        <v>66</v>
      </c>
      <c r="B67" s="153" t="s">
        <v>403</v>
      </c>
      <c r="C67" s="153" t="s">
        <v>327</v>
      </c>
      <c r="D67" s="153" t="s">
        <v>328</v>
      </c>
      <c r="E67" s="153" t="s">
        <v>383</v>
      </c>
      <c r="F67" s="153" t="s">
        <v>337</v>
      </c>
      <c r="G67" s="153" t="s">
        <v>331</v>
      </c>
      <c r="H67" s="153" t="s">
        <v>332</v>
      </c>
      <c r="I67" s="153" t="s">
        <v>329</v>
      </c>
      <c r="J67" s="153" t="s">
        <v>334</v>
      </c>
      <c r="K67" s="153" t="s">
        <v>335</v>
      </c>
    </row>
    <row r="68" spans="1:11" ht="15.75" customHeight="1" x14ac:dyDescent="0.25">
      <c r="A68" s="153">
        <v>67</v>
      </c>
      <c r="B68" s="153" t="s">
        <v>404</v>
      </c>
      <c r="C68" s="153" t="s">
        <v>327</v>
      </c>
      <c r="D68" s="153" t="s">
        <v>328</v>
      </c>
      <c r="E68" s="153" t="s">
        <v>383</v>
      </c>
      <c r="F68" s="153" t="s">
        <v>337</v>
      </c>
      <c r="G68" s="153" t="s">
        <v>329</v>
      </c>
      <c r="H68" s="153" t="s">
        <v>330</v>
      </c>
      <c r="I68" s="153" t="s">
        <v>333</v>
      </c>
      <c r="J68" s="153" t="s">
        <v>334</v>
      </c>
      <c r="K68" s="153" t="s">
        <v>335</v>
      </c>
    </row>
    <row r="69" spans="1:11" ht="15.75" customHeight="1" x14ac:dyDescent="0.25">
      <c r="A69" s="153">
        <v>68</v>
      </c>
      <c r="B69" s="153" t="s">
        <v>405</v>
      </c>
      <c r="C69" s="153" t="s">
        <v>327</v>
      </c>
      <c r="D69" s="153" t="s">
        <v>328</v>
      </c>
      <c r="E69" s="153" t="s">
        <v>383</v>
      </c>
      <c r="F69" s="153" t="s">
        <v>337</v>
      </c>
      <c r="G69" s="153" t="s">
        <v>331</v>
      </c>
      <c r="H69" s="153" t="s">
        <v>330</v>
      </c>
      <c r="I69" s="153" t="s">
        <v>333</v>
      </c>
      <c r="J69" s="153" t="s">
        <v>334</v>
      </c>
      <c r="K69" s="153" t="s">
        <v>335</v>
      </c>
    </row>
    <row r="70" spans="1:11" ht="15.75" customHeight="1" x14ac:dyDescent="0.25">
      <c r="A70" s="153">
        <v>69</v>
      </c>
      <c r="B70" s="153" t="s">
        <v>406</v>
      </c>
      <c r="C70" s="153" t="s">
        <v>327</v>
      </c>
      <c r="D70" s="153" t="s">
        <v>329</v>
      </c>
      <c r="E70" s="153" t="s">
        <v>383</v>
      </c>
      <c r="F70" s="153" t="s">
        <v>337</v>
      </c>
      <c r="G70" s="153" t="s">
        <v>331</v>
      </c>
      <c r="H70" s="153" t="s">
        <v>330</v>
      </c>
      <c r="I70" s="153" t="s">
        <v>333</v>
      </c>
      <c r="J70" s="153" t="s">
        <v>334</v>
      </c>
      <c r="K70" s="153" t="s">
        <v>335</v>
      </c>
    </row>
    <row r="71" spans="1:11" ht="15.75" customHeight="1" x14ac:dyDescent="0.25">
      <c r="A71" s="153">
        <v>70</v>
      </c>
      <c r="B71" s="153" t="s">
        <v>407</v>
      </c>
      <c r="C71" s="153" t="s">
        <v>327</v>
      </c>
      <c r="D71" s="153" t="s">
        <v>328</v>
      </c>
      <c r="E71" s="153" t="s">
        <v>383</v>
      </c>
      <c r="F71" s="153" t="s">
        <v>337</v>
      </c>
      <c r="G71" s="153" t="s">
        <v>331</v>
      </c>
      <c r="H71" s="153" t="s">
        <v>330</v>
      </c>
      <c r="I71" s="153" t="s">
        <v>333</v>
      </c>
      <c r="J71" s="153" t="s">
        <v>329</v>
      </c>
      <c r="K71" s="153" t="s">
        <v>335</v>
      </c>
    </row>
    <row r="72" spans="1:11" ht="15.75" customHeight="1" x14ac:dyDescent="0.25">
      <c r="A72" s="153">
        <v>71</v>
      </c>
      <c r="B72" s="153" t="s">
        <v>408</v>
      </c>
      <c r="C72" s="153" t="s">
        <v>327</v>
      </c>
      <c r="D72" s="153" t="s">
        <v>328</v>
      </c>
      <c r="E72" s="153" t="s">
        <v>383</v>
      </c>
      <c r="F72" s="153" t="s">
        <v>337</v>
      </c>
      <c r="G72" s="153" t="s">
        <v>331</v>
      </c>
      <c r="H72" s="153" t="s">
        <v>330</v>
      </c>
      <c r="I72" s="153" t="s">
        <v>329</v>
      </c>
      <c r="J72" s="153" t="s">
        <v>334</v>
      </c>
      <c r="K72" s="153" t="s">
        <v>335</v>
      </c>
    </row>
    <row r="73" spans="1:11" ht="15.75" customHeight="1" x14ac:dyDescent="0.25">
      <c r="A73" s="153">
        <v>72</v>
      </c>
      <c r="B73" s="153" t="s">
        <v>409</v>
      </c>
      <c r="C73" s="153" t="s">
        <v>327</v>
      </c>
      <c r="D73" s="153" t="s">
        <v>332</v>
      </c>
      <c r="E73" s="153" t="s">
        <v>383</v>
      </c>
      <c r="F73" s="153" t="s">
        <v>337</v>
      </c>
      <c r="G73" s="153" t="s">
        <v>328</v>
      </c>
      <c r="H73" s="153" t="s">
        <v>330</v>
      </c>
      <c r="I73" s="153" t="s">
        <v>333</v>
      </c>
      <c r="J73" s="153" t="s">
        <v>334</v>
      </c>
      <c r="K73" s="153" t="s">
        <v>335</v>
      </c>
    </row>
    <row r="74" spans="1:11" ht="15.75" customHeight="1" x14ac:dyDescent="0.25">
      <c r="A74" s="153">
        <v>73</v>
      </c>
      <c r="B74" s="153" t="s">
        <v>410</v>
      </c>
      <c r="C74" s="153" t="s">
        <v>327</v>
      </c>
      <c r="D74" s="153" t="s">
        <v>332</v>
      </c>
      <c r="E74" s="153" t="s">
        <v>383</v>
      </c>
      <c r="F74" s="153" t="s">
        <v>337</v>
      </c>
      <c r="G74" s="153" t="s">
        <v>329</v>
      </c>
      <c r="H74" s="153" t="s">
        <v>330</v>
      </c>
      <c r="I74" s="153" t="s">
        <v>333</v>
      </c>
      <c r="J74" s="153" t="s">
        <v>334</v>
      </c>
      <c r="K74" s="153" t="s">
        <v>335</v>
      </c>
    </row>
    <row r="75" spans="1:11" ht="15.75" customHeight="1" x14ac:dyDescent="0.25">
      <c r="A75" s="153">
        <v>74</v>
      </c>
      <c r="B75" s="153" t="s">
        <v>411</v>
      </c>
      <c r="C75" s="153" t="s">
        <v>327</v>
      </c>
      <c r="D75" s="153" t="s">
        <v>332</v>
      </c>
      <c r="E75" s="153" t="s">
        <v>383</v>
      </c>
      <c r="F75" s="153" t="s">
        <v>337</v>
      </c>
      <c r="G75" s="153" t="s">
        <v>328</v>
      </c>
      <c r="H75" s="153" t="s">
        <v>330</v>
      </c>
      <c r="I75" s="153" t="s">
        <v>333</v>
      </c>
      <c r="J75" s="153" t="s">
        <v>329</v>
      </c>
      <c r="K75" s="153" t="s">
        <v>335</v>
      </c>
    </row>
    <row r="76" spans="1:11" ht="15.75" customHeight="1" x14ac:dyDescent="0.25">
      <c r="A76" s="153">
        <v>75</v>
      </c>
      <c r="B76" s="153" t="s">
        <v>412</v>
      </c>
      <c r="C76" s="153" t="s">
        <v>327</v>
      </c>
      <c r="D76" s="153" t="s">
        <v>332</v>
      </c>
      <c r="E76" s="153" t="s">
        <v>383</v>
      </c>
      <c r="F76" s="153" t="s">
        <v>337</v>
      </c>
      <c r="G76" s="153" t="s">
        <v>328</v>
      </c>
      <c r="H76" s="153" t="s">
        <v>330</v>
      </c>
      <c r="I76" s="153" t="s">
        <v>329</v>
      </c>
      <c r="J76" s="153" t="s">
        <v>334</v>
      </c>
      <c r="K76" s="153" t="s">
        <v>335</v>
      </c>
    </row>
    <row r="77" spans="1:11" ht="15.75" customHeight="1" x14ac:dyDescent="0.25">
      <c r="A77" s="153">
        <v>76</v>
      </c>
      <c r="B77" s="153" t="s">
        <v>413</v>
      </c>
      <c r="C77" s="153" t="s">
        <v>327</v>
      </c>
      <c r="D77" s="153" t="s">
        <v>332</v>
      </c>
      <c r="E77" s="153" t="s">
        <v>383</v>
      </c>
      <c r="F77" s="153" t="s">
        <v>337</v>
      </c>
      <c r="G77" s="153" t="s">
        <v>331</v>
      </c>
      <c r="H77" s="153" t="s">
        <v>330</v>
      </c>
      <c r="I77" s="153" t="s">
        <v>333</v>
      </c>
      <c r="J77" s="153" t="s">
        <v>334</v>
      </c>
      <c r="K77" s="153" t="s">
        <v>335</v>
      </c>
    </row>
    <row r="78" spans="1:11" ht="15.75" customHeight="1" x14ac:dyDescent="0.25">
      <c r="A78" s="153">
        <v>77</v>
      </c>
      <c r="B78" s="153" t="s">
        <v>414</v>
      </c>
      <c r="C78" s="153" t="s">
        <v>331</v>
      </c>
      <c r="D78" s="153" t="s">
        <v>332</v>
      </c>
      <c r="E78" s="153" t="s">
        <v>383</v>
      </c>
      <c r="F78" s="153" t="s">
        <v>337</v>
      </c>
      <c r="G78" s="153" t="s">
        <v>328</v>
      </c>
      <c r="H78" s="153" t="s">
        <v>330</v>
      </c>
      <c r="I78" s="153" t="s">
        <v>333</v>
      </c>
      <c r="J78" s="153" t="s">
        <v>327</v>
      </c>
      <c r="K78" s="153" t="s">
        <v>335</v>
      </c>
    </row>
    <row r="79" spans="1:11" ht="15.75" customHeight="1" x14ac:dyDescent="0.25">
      <c r="A79" s="153">
        <v>78</v>
      </c>
      <c r="B79" s="153" t="s">
        <v>415</v>
      </c>
      <c r="C79" s="153" t="s">
        <v>331</v>
      </c>
      <c r="D79" s="153" t="s">
        <v>332</v>
      </c>
      <c r="E79" s="153" t="s">
        <v>383</v>
      </c>
      <c r="F79" s="153" t="s">
        <v>337</v>
      </c>
      <c r="G79" s="153" t="s">
        <v>328</v>
      </c>
      <c r="H79" s="153" t="s">
        <v>330</v>
      </c>
      <c r="I79" s="153" t="s">
        <v>327</v>
      </c>
      <c r="J79" s="153" t="s">
        <v>334</v>
      </c>
      <c r="K79" s="153" t="s">
        <v>335</v>
      </c>
    </row>
    <row r="80" spans="1:11" ht="15.75" customHeight="1" x14ac:dyDescent="0.25">
      <c r="A80" s="153">
        <v>79</v>
      </c>
      <c r="B80" s="153" t="s">
        <v>416</v>
      </c>
      <c r="C80" s="153" t="s">
        <v>327</v>
      </c>
      <c r="D80" s="153" t="s">
        <v>332</v>
      </c>
      <c r="E80" s="153" t="s">
        <v>383</v>
      </c>
      <c r="F80" s="153" t="s">
        <v>337</v>
      </c>
      <c r="G80" s="153" t="s">
        <v>331</v>
      </c>
      <c r="H80" s="153" t="s">
        <v>330</v>
      </c>
      <c r="I80" s="153" t="s">
        <v>333</v>
      </c>
      <c r="J80" s="153" t="s">
        <v>329</v>
      </c>
      <c r="K80" s="153" t="s">
        <v>335</v>
      </c>
    </row>
    <row r="81" spans="1:11" ht="15.75" customHeight="1" x14ac:dyDescent="0.25">
      <c r="A81" s="153">
        <v>80</v>
      </c>
      <c r="B81" s="153" t="s">
        <v>417</v>
      </c>
      <c r="C81" s="153" t="s">
        <v>327</v>
      </c>
      <c r="D81" s="153" t="s">
        <v>332</v>
      </c>
      <c r="E81" s="153" t="s">
        <v>383</v>
      </c>
      <c r="F81" s="153" t="s">
        <v>337</v>
      </c>
      <c r="G81" s="153" t="s">
        <v>331</v>
      </c>
      <c r="H81" s="153" t="s">
        <v>330</v>
      </c>
      <c r="I81" s="153" t="s">
        <v>329</v>
      </c>
      <c r="J81" s="153" t="s">
        <v>334</v>
      </c>
      <c r="K81" s="153" t="s">
        <v>335</v>
      </c>
    </row>
    <row r="82" spans="1:11" ht="15.75" customHeight="1" x14ac:dyDescent="0.25">
      <c r="A82" s="153">
        <v>81</v>
      </c>
      <c r="B82" s="153" t="s">
        <v>418</v>
      </c>
      <c r="C82" s="153" t="s">
        <v>331</v>
      </c>
      <c r="D82" s="153" t="s">
        <v>332</v>
      </c>
      <c r="E82" s="153" t="s">
        <v>383</v>
      </c>
      <c r="F82" s="153" t="s">
        <v>337</v>
      </c>
      <c r="G82" s="153" t="s">
        <v>328</v>
      </c>
      <c r="H82" s="153" t="s">
        <v>330</v>
      </c>
      <c r="I82" s="153" t="s">
        <v>327</v>
      </c>
      <c r="J82" s="153" t="s">
        <v>329</v>
      </c>
      <c r="K82" s="153" t="s">
        <v>335</v>
      </c>
    </row>
    <row r="83" spans="1:11" ht="15.75" customHeight="1" x14ac:dyDescent="0.25">
      <c r="A83" s="153">
        <v>82</v>
      </c>
      <c r="B83" s="153" t="s">
        <v>419</v>
      </c>
      <c r="C83" s="153" t="s">
        <v>331</v>
      </c>
      <c r="D83" s="153" t="s">
        <v>328</v>
      </c>
      <c r="E83" s="153" t="s">
        <v>383</v>
      </c>
      <c r="F83" s="153" t="s">
        <v>346</v>
      </c>
      <c r="G83" s="153" t="s">
        <v>329</v>
      </c>
      <c r="H83" s="153" t="s">
        <v>332</v>
      </c>
      <c r="I83" s="153" t="s">
        <v>333</v>
      </c>
      <c r="J83" s="153" t="s">
        <v>334</v>
      </c>
      <c r="K83" s="153" t="s">
        <v>335</v>
      </c>
    </row>
    <row r="84" spans="1:11" ht="15.75" customHeight="1" x14ac:dyDescent="0.25">
      <c r="A84" s="153">
        <v>83</v>
      </c>
      <c r="B84" s="153" t="s">
        <v>420</v>
      </c>
      <c r="C84" s="153" t="s">
        <v>331</v>
      </c>
      <c r="D84" s="153" t="s">
        <v>328</v>
      </c>
      <c r="E84" s="153" t="s">
        <v>383</v>
      </c>
      <c r="F84" s="153" t="s">
        <v>346</v>
      </c>
      <c r="G84" s="153" t="s">
        <v>329</v>
      </c>
      <c r="H84" s="153" t="s">
        <v>330</v>
      </c>
      <c r="I84" s="153" t="s">
        <v>333</v>
      </c>
      <c r="J84" s="153" t="s">
        <v>334</v>
      </c>
      <c r="K84" s="153" t="s">
        <v>335</v>
      </c>
    </row>
    <row r="85" spans="1:11" ht="15.75" customHeight="1" x14ac:dyDescent="0.25">
      <c r="A85" s="153">
        <v>84</v>
      </c>
      <c r="B85" s="153" t="s">
        <v>421</v>
      </c>
      <c r="C85" s="153" t="s">
        <v>329</v>
      </c>
      <c r="D85" s="153" t="s">
        <v>332</v>
      </c>
      <c r="E85" s="153" t="s">
        <v>383</v>
      </c>
      <c r="F85" s="153" t="s">
        <v>346</v>
      </c>
      <c r="G85" s="153" t="s">
        <v>328</v>
      </c>
      <c r="H85" s="153" t="s">
        <v>330</v>
      </c>
      <c r="I85" s="153" t="s">
        <v>333</v>
      </c>
      <c r="J85" s="153" t="s">
        <v>334</v>
      </c>
      <c r="K85" s="153" t="s">
        <v>335</v>
      </c>
    </row>
    <row r="86" spans="1:11" ht="15.75" customHeight="1" x14ac:dyDescent="0.25">
      <c r="A86" s="153">
        <v>85</v>
      </c>
      <c r="B86" s="153" t="s">
        <v>422</v>
      </c>
      <c r="C86" s="153" t="s">
        <v>331</v>
      </c>
      <c r="D86" s="153" t="s">
        <v>332</v>
      </c>
      <c r="E86" s="153" t="s">
        <v>383</v>
      </c>
      <c r="F86" s="153" t="s">
        <v>346</v>
      </c>
      <c r="G86" s="153" t="s">
        <v>328</v>
      </c>
      <c r="H86" s="153" t="s">
        <v>330</v>
      </c>
      <c r="I86" s="153" t="s">
        <v>333</v>
      </c>
      <c r="J86" s="153" t="s">
        <v>334</v>
      </c>
      <c r="K86" s="153" t="s">
        <v>335</v>
      </c>
    </row>
    <row r="87" spans="1:11" ht="15.75" customHeight="1" x14ac:dyDescent="0.25">
      <c r="A87" s="153">
        <v>86</v>
      </c>
      <c r="B87" s="153" t="s">
        <v>423</v>
      </c>
      <c r="C87" s="153" t="s">
        <v>331</v>
      </c>
      <c r="D87" s="153" t="s">
        <v>332</v>
      </c>
      <c r="E87" s="153" t="s">
        <v>383</v>
      </c>
      <c r="F87" s="153" t="s">
        <v>346</v>
      </c>
      <c r="G87" s="153" t="s">
        <v>329</v>
      </c>
      <c r="H87" s="153" t="s">
        <v>330</v>
      </c>
      <c r="I87" s="153" t="s">
        <v>333</v>
      </c>
      <c r="J87" s="153" t="s">
        <v>334</v>
      </c>
      <c r="K87" s="153" t="s">
        <v>335</v>
      </c>
    </row>
    <row r="88" spans="1:11" ht="15.75" customHeight="1" x14ac:dyDescent="0.25">
      <c r="A88" s="153">
        <v>87</v>
      </c>
      <c r="B88" s="153" t="s">
        <v>424</v>
      </c>
      <c r="C88" s="153" t="s">
        <v>331</v>
      </c>
      <c r="D88" s="153" t="s">
        <v>332</v>
      </c>
      <c r="E88" s="153" t="s">
        <v>383</v>
      </c>
      <c r="F88" s="153" t="s">
        <v>346</v>
      </c>
      <c r="G88" s="153" t="s">
        <v>328</v>
      </c>
      <c r="H88" s="153" t="s">
        <v>330</v>
      </c>
      <c r="I88" s="153" t="s">
        <v>333</v>
      </c>
      <c r="J88" s="153" t="s">
        <v>329</v>
      </c>
      <c r="K88" s="153" t="s">
        <v>335</v>
      </c>
    </row>
    <row r="89" spans="1:11" ht="15.75" customHeight="1" x14ac:dyDescent="0.25">
      <c r="A89" s="153">
        <v>88</v>
      </c>
      <c r="B89" s="153" t="s">
        <v>425</v>
      </c>
      <c r="C89" s="153" t="s">
        <v>331</v>
      </c>
      <c r="D89" s="153" t="s">
        <v>332</v>
      </c>
      <c r="E89" s="153" t="s">
        <v>383</v>
      </c>
      <c r="F89" s="153" t="s">
        <v>346</v>
      </c>
      <c r="G89" s="153" t="s">
        <v>328</v>
      </c>
      <c r="H89" s="153" t="s">
        <v>330</v>
      </c>
      <c r="I89" s="153" t="s">
        <v>329</v>
      </c>
      <c r="J89" s="153" t="s">
        <v>334</v>
      </c>
      <c r="K89" s="153" t="s">
        <v>335</v>
      </c>
    </row>
    <row r="90" spans="1:11" ht="15.75" customHeight="1" x14ac:dyDescent="0.25">
      <c r="A90" s="153">
        <v>89</v>
      </c>
      <c r="B90" s="153" t="s">
        <v>426</v>
      </c>
      <c r="C90" s="153" t="s">
        <v>327</v>
      </c>
      <c r="D90" s="153" t="s">
        <v>328</v>
      </c>
      <c r="E90" s="153" t="s">
        <v>383</v>
      </c>
      <c r="F90" s="153" t="s">
        <v>346</v>
      </c>
      <c r="G90" s="153" t="s">
        <v>329</v>
      </c>
      <c r="H90" s="153" t="s">
        <v>331</v>
      </c>
      <c r="I90" s="153" t="s">
        <v>333</v>
      </c>
      <c r="J90" s="153" t="s">
        <v>334</v>
      </c>
      <c r="K90" s="153" t="s">
        <v>335</v>
      </c>
    </row>
    <row r="91" spans="1:11" ht="15.75" customHeight="1" x14ac:dyDescent="0.25">
      <c r="A91" s="153">
        <v>90</v>
      </c>
      <c r="B91" s="153" t="s">
        <v>427</v>
      </c>
      <c r="C91" s="153" t="s">
        <v>327</v>
      </c>
      <c r="D91" s="153" t="s">
        <v>328</v>
      </c>
      <c r="E91" s="153" t="s">
        <v>383</v>
      </c>
      <c r="F91" s="153" t="s">
        <v>346</v>
      </c>
      <c r="G91" s="153" t="s">
        <v>329</v>
      </c>
      <c r="H91" s="153" t="s">
        <v>332</v>
      </c>
      <c r="I91" s="153" t="s">
        <v>333</v>
      </c>
      <c r="J91" s="153" t="s">
        <v>334</v>
      </c>
      <c r="K91" s="153" t="s">
        <v>335</v>
      </c>
    </row>
    <row r="92" spans="1:11" ht="15.75" customHeight="1" x14ac:dyDescent="0.25">
      <c r="A92" s="153">
        <v>91</v>
      </c>
      <c r="B92" s="153" t="s">
        <v>428</v>
      </c>
      <c r="C92" s="153" t="s">
        <v>327</v>
      </c>
      <c r="D92" s="153" t="s">
        <v>328</v>
      </c>
      <c r="E92" s="153" t="s">
        <v>383</v>
      </c>
      <c r="F92" s="153" t="s">
        <v>346</v>
      </c>
      <c r="G92" s="153" t="s">
        <v>331</v>
      </c>
      <c r="H92" s="153" t="s">
        <v>332</v>
      </c>
      <c r="I92" s="153" t="s">
        <v>333</v>
      </c>
      <c r="J92" s="153" t="s">
        <v>334</v>
      </c>
      <c r="K92" s="153" t="s">
        <v>335</v>
      </c>
    </row>
    <row r="93" spans="1:11" ht="15.75" customHeight="1" x14ac:dyDescent="0.25">
      <c r="A93" s="153">
        <v>92</v>
      </c>
      <c r="B93" s="153" t="s">
        <v>429</v>
      </c>
      <c r="C93" s="153" t="s">
        <v>327</v>
      </c>
      <c r="D93" s="153" t="s">
        <v>332</v>
      </c>
      <c r="E93" s="153" t="s">
        <v>383</v>
      </c>
      <c r="F93" s="153" t="s">
        <v>346</v>
      </c>
      <c r="G93" s="153" t="s">
        <v>329</v>
      </c>
      <c r="H93" s="153" t="s">
        <v>331</v>
      </c>
      <c r="I93" s="153" t="s">
        <v>333</v>
      </c>
      <c r="J93" s="153" t="s">
        <v>334</v>
      </c>
      <c r="K93" s="153" t="s">
        <v>335</v>
      </c>
    </row>
    <row r="94" spans="1:11" ht="15.75" customHeight="1" x14ac:dyDescent="0.25">
      <c r="A94" s="153">
        <v>93</v>
      </c>
      <c r="B94" s="153" t="s">
        <v>430</v>
      </c>
      <c r="C94" s="153" t="s">
        <v>327</v>
      </c>
      <c r="D94" s="153" t="s">
        <v>328</v>
      </c>
      <c r="E94" s="153" t="s">
        <v>383</v>
      </c>
      <c r="F94" s="153" t="s">
        <v>346</v>
      </c>
      <c r="G94" s="153" t="s">
        <v>331</v>
      </c>
      <c r="H94" s="153" t="s">
        <v>332</v>
      </c>
      <c r="I94" s="153" t="s">
        <v>333</v>
      </c>
      <c r="J94" s="153" t="s">
        <v>329</v>
      </c>
      <c r="K94" s="153" t="s">
        <v>335</v>
      </c>
    </row>
    <row r="95" spans="1:11" ht="15.75" customHeight="1" x14ac:dyDescent="0.25">
      <c r="A95" s="153">
        <v>94</v>
      </c>
      <c r="B95" s="153" t="s">
        <v>431</v>
      </c>
      <c r="C95" s="153" t="s">
        <v>327</v>
      </c>
      <c r="D95" s="153" t="s">
        <v>328</v>
      </c>
      <c r="E95" s="153" t="s">
        <v>383</v>
      </c>
      <c r="F95" s="153" t="s">
        <v>346</v>
      </c>
      <c r="G95" s="153" t="s">
        <v>331</v>
      </c>
      <c r="H95" s="153" t="s">
        <v>332</v>
      </c>
      <c r="I95" s="153" t="s">
        <v>329</v>
      </c>
      <c r="J95" s="153" t="s">
        <v>334</v>
      </c>
      <c r="K95" s="153" t="s">
        <v>335</v>
      </c>
    </row>
    <row r="96" spans="1:11" ht="15.75" customHeight="1" x14ac:dyDescent="0.25">
      <c r="A96" s="153">
        <v>95</v>
      </c>
      <c r="B96" s="153" t="s">
        <v>432</v>
      </c>
      <c r="C96" s="153" t="s">
        <v>327</v>
      </c>
      <c r="D96" s="153" t="s">
        <v>328</v>
      </c>
      <c r="E96" s="153" t="s">
        <v>383</v>
      </c>
      <c r="F96" s="153" t="s">
        <v>346</v>
      </c>
      <c r="G96" s="153" t="s">
        <v>329</v>
      </c>
      <c r="H96" s="153" t="s">
        <v>330</v>
      </c>
      <c r="I96" s="153" t="s">
        <v>333</v>
      </c>
      <c r="J96" s="153" t="s">
        <v>334</v>
      </c>
      <c r="K96" s="153" t="s">
        <v>335</v>
      </c>
    </row>
    <row r="97" spans="1:11" ht="15.75" customHeight="1" x14ac:dyDescent="0.25">
      <c r="A97" s="153">
        <v>96</v>
      </c>
      <c r="B97" s="153" t="s">
        <v>433</v>
      </c>
      <c r="C97" s="153" t="s">
        <v>327</v>
      </c>
      <c r="D97" s="153" t="s">
        <v>328</v>
      </c>
      <c r="E97" s="153" t="s">
        <v>383</v>
      </c>
      <c r="F97" s="153" t="s">
        <v>346</v>
      </c>
      <c r="G97" s="153" t="s">
        <v>331</v>
      </c>
      <c r="H97" s="153" t="s">
        <v>330</v>
      </c>
      <c r="I97" s="153" t="s">
        <v>333</v>
      </c>
      <c r="J97" s="153" t="s">
        <v>334</v>
      </c>
      <c r="K97" s="153" t="s">
        <v>335</v>
      </c>
    </row>
    <row r="98" spans="1:11" ht="15.75" customHeight="1" x14ac:dyDescent="0.25">
      <c r="A98" s="153">
        <v>97</v>
      </c>
      <c r="B98" s="153" t="s">
        <v>434</v>
      </c>
      <c r="C98" s="153" t="s">
        <v>327</v>
      </c>
      <c r="D98" s="153" t="s">
        <v>329</v>
      </c>
      <c r="E98" s="153" t="s">
        <v>383</v>
      </c>
      <c r="F98" s="153" t="s">
        <v>346</v>
      </c>
      <c r="G98" s="153" t="s">
        <v>331</v>
      </c>
      <c r="H98" s="153" t="s">
        <v>330</v>
      </c>
      <c r="I98" s="153" t="s">
        <v>333</v>
      </c>
      <c r="J98" s="153" t="s">
        <v>334</v>
      </c>
      <c r="K98" s="153" t="s">
        <v>335</v>
      </c>
    </row>
    <row r="99" spans="1:11" ht="15.75" customHeight="1" x14ac:dyDescent="0.25">
      <c r="A99" s="153">
        <v>98</v>
      </c>
      <c r="B99" s="153" t="s">
        <v>435</v>
      </c>
      <c r="C99" s="153" t="s">
        <v>327</v>
      </c>
      <c r="D99" s="153" t="s">
        <v>328</v>
      </c>
      <c r="E99" s="153" t="s">
        <v>383</v>
      </c>
      <c r="F99" s="153" t="s">
        <v>346</v>
      </c>
      <c r="G99" s="153" t="s">
        <v>331</v>
      </c>
      <c r="H99" s="153" t="s">
        <v>330</v>
      </c>
      <c r="I99" s="153" t="s">
        <v>333</v>
      </c>
      <c r="J99" s="153" t="s">
        <v>329</v>
      </c>
      <c r="K99" s="153" t="s">
        <v>335</v>
      </c>
    </row>
    <row r="100" spans="1:11" ht="15.75" customHeight="1" x14ac:dyDescent="0.25">
      <c r="A100" s="153">
        <v>99</v>
      </c>
      <c r="B100" s="153" t="s">
        <v>436</v>
      </c>
      <c r="C100" s="153" t="s">
        <v>327</v>
      </c>
      <c r="D100" s="153" t="s">
        <v>328</v>
      </c>
      <c r="E100" s="153" t="s">
        <v>383</v>
      </c>
      <c r="F100" s="153" t="s">
        <v>346</v>
      </c>
      <c r="G100" s="153" t="s">
        <v>331</v>
      </c>
      <c r="H100" s="153" t="s">
        <v>330</v>
      </c>
      <c r="I100" s="153" t="s">
        <v>329</v>
      </c>
      <c r="J100" s="153" t="s">
        <v>334</v>
      </c>
      <c r="K100" s="153" t="s">
        <v>335</v>
      </c>
    </row>
    <row r="101" spans="1:11" ht="15.75" customHeight="1" x14ac:dyDescent="0.25">
      <c r="A101" s="153">
        <v>100</v>
      </c>
      <c r="B101" s="153" t="s">
        <v>437</v>
      </c>
      <c r="C101" s="153" t="s">
        <v>327</v>
      </c>
      <c r="D101" s="153" t="s">
        <v>332</v>
      </c>
      <c r="E101" s="153" t="s">
        <v>383</v>
      </c>
      <c r="F101" s="153" t="s">
        <v>346</v>
      </c>
      <c r="G101" s="153" t="s">
        <v>328</v>
      </c>
      <c r="H101" s="153" t="s">
        <v>330</v>
      </c>
      <c r="I101" s="153" t="s">
        <v>333</v>
      </c>
      <c r="J101" s="153" t="s">
        <v>334</v>
      </c>
      <c r="K101" s="153" t="s">
        <v>335</v>
      </c>
    </row>
    <row r="102" spans="1:11" ht="15.75" customHeight="1" x14ac:dyDescent="0.25">
      <c r="A102" s="153">
        <v>101</v>
      </c>
      <c r="B102" s="153" t="s">
        <v>438</v>
      </c>
      <c r="C102" s="153" t="s">
        <v>327</v>
      </c>
      <c r="D102" s="153" t="s">
        <v>332</v>
      </c>
      <c r="E102" s="153" t="s">
        <v>383</v>
      </c>
      <c r="F102" s="153" t="s">
        <v>346</v>
      </c>
      <c r="G102" s="153" t="s">
        <v>329</v>
      </c>
      <c r="H102" s="153" t="s">
        <v>330</v>
      </c>
      <c r="I102" s="153" t="s">
        <v>333</v>
      </c>
      <c r="J102" s="153" t="s">
        <v>334</v>
      </c>
      <c r="K102" s="153" t="s">
        <v>335</v>
      </c>
    </row>
    <row r="103" spans="1:11" ht="15.75" customHeight="1" x14ac:dyDescent="0.25">
      <c r="A103" s="153">
        <v>102</v>
      </c>
      <c r="B103" s="153" t="s">
        <v>439</v>
      </c>
      <c r="C103" s="153" t="s">
        <v>327</v>
      </c>
      <c r="D103" s="153" t="s">
        <v>332</v>
      </c>
      <c r="E103" s="153" t="s">
        <v>383</v>
      </c>
      <c r="F103" s="153" t="s">
        <v>346</v>
      </c>
      <c r="G103" s="153" t="s">
        <v>328</v>
      </c>
      <c r="H103" s="153" t="s">
        <v>330</v>
      </c>
      <c r="I103" s="153" t="s">
        <v>333</v>
      </c>
      <c r="J103" s="153" t="s">
        <v>329</v>
      </c>
      <c r="K103" s="153" t="s">
        <v>335</v>
      </c>
    </row>
    <row r="104" spans="1:11" ht="15.75" customHeight="1" x14ac:dyDescent="0.25">
      <c r="A104" s="153">
        <v>103</v>
      </c>
      <c r="B104" s="153" t="s">
        <v>440</v>
      </c>
      <c r="C104" s="153" t="s">
        <v>327</v>
      </c>
      <c r="D104" s="153" t="s">
        <v>332</v>
      </c>
      <c r="E104" s="153" t="s">
        <v>383</v>
      </c>
      <c r="F104" s="153" t="s">
        <v>346</v>
      </c>
      <c r="G104" s="153" t="s">
        <v>328</v>
      </c>
      <c r="H104" s="153" t="s">
        <v>330</v>
      </c>
      <c r="I104" s="153" t="s">
        <v>329</v>
      </c>
      <c r="J104" s="153" t="s">
        <v>334</v>
      </c>
      <c r="K104" s="153" t="s">
        <v>335</v>
      </c>
    </row>
    <row r="105" spans="1:11" ht="15.75" customHeight="1" x14ac:dyDescent="0.25">
      <c r="A105" s="153">
        <v>104</v>
      </c>
      <c r="B105" s="153" t="s">
        <v>441</v>
      </c>
      <c r="C105" s="153" t="s">
        <v>327</v>
      </c>
      <c r="D105" s="153" t="s">
        <v>332</v>
      </c>
      <c r="E105" s="153" t="s">
        <v>383</v>
      </c>
      <c r="F105" s="153" t="s">
        <v>346</v>
      </c>
      <c r="G105" s="153" t="s">
        <v>331</v>
      </c>
      <c r="H105" s="153" t="s">
        <v>330</v>
      </c>
      <c r="I105" s="153" t="s">
        <v>333</v>
      </c>
      <c r="J105" s="153" t="s">
        <v>334</v>
      </c>
      <c r="K105" s="153" t="s">
        <v>335</v>
      </c>
    </row>
    <row r="106" spans="1:11" ht="15.75" customHeight="1" x14ac:dyDescent="0.25">
      <c r="A106" s="153">
        <v>105</v>
      </c>
      <c r="B106" s="153" t="s">
        <v>442</v>
      </c>
      <c r="C106" s="153" t="s">
        <v>331</v>
      </c>
      <c r="D106" s="153" t="s">
        <v>332</v>
      </c>
      <c r="E106" s="153" t="s">
        <v>383</v>
      </c>
      <c r="F106" s="153" t="s">
        <v>346</v>
      </c>
      <c r="G106" s="153" t="s">
        <v>328</v>
      </c>
      <c r="H106" s="153" t="s">
        <v>330</v>
      </c>
      <c r="I106" s="153" t="s">
        <v>333</v>
      </c>
      <c r="J106" s="153" t="s">
        <v>327</v>
      </c>
      <c r="K106" s="153" t="s">
        <v>335</v>
      </c>
    </row>
    <row r="107" spans="1:11" ht="15.75" customHeight="1" x14ac:dyDescent="0.25">
      <c r="A107" s="153">
        <v>106</v>
      </c>
      <c r="B107" s="153" t="s">
        <v>443</v>
      </c>
      <c r="C107" s="153" t="s">
        <v>331</v>
      </c>
      <c r="D107" s="153" t="s">
        <v>332</v>
      </c>
      <c r="E107" s="153" t="s">
        <v>383</v>
      </c>
      <c r="F107" s="153" t="s">
        <v>346</v>
      </c>
      <c r="G107" s="153" t="s">
        <v>328</v>
      </c>
      <c r="H107" s="153" t="s">
        <v>330</v>
      </c>
      <c r="I107" s="153" t="s">
        <v>327</v>
      </c>
      <c r="J107" s="153" t="s">
        <v>334</v>
      </c>
      <c r="K107" s="153" t="s">
        <v>335</v>
      </c>
    </row>
    <row r="108" spans="1:11" ht="15.75" customHeight="1" x14ac:dyDescent="0.25">
      <c r="A108" s="153">
        <v>107</v>
      </c>
      <c r="B108" s="153" t="s">
        <v>444</v>
      </c>
      <c r="C108" s="153" t="s">
        <v>327</v>
      </c>
      <c r="D108" s="153" t="s">
        <v>332</v>
      </c>
      <c r="E108" s="153" t="s">
        <v>383</v>
      </c>
      <c r="F108" s="153" t="s">
        <v>346</v>
      </c>
      <c r="G108" s="153" t="s">
        <v>331</v>
      </c>
      <c r="H108" s="153" t="s">
        <v>330</v>
      </c>
      <c r="I108" s="153" t="s">
        <v>333</v>
      </c>
      <c r="J108" s="153" t="s">
        <v>329</v>
      </c>
      <c r="K108" s="153" t="s">
        <v>335</v>
      </c>
    </row>
    <row r="109" spans="1:11" ht="15.75" customHeight="1" x14ac:dyDescent="0.25">
      <c r="A109" s="153">
        <v>108</v>
      </c>
      <c r="B109" s="153" t="s">
        <v>445</v>
      </c>
      <c r="C109" s="153" t="s">
        <v>327</v>
      </c>
      <c r="D109" s="153" t="s">
        <v>332</v>
      </c>
      <c r="E109" s="153" t="s">
        <v>383</v>
      </c>
      <c r="F109" s="153" t="s">
        <v>346</v>
      </c>
      <c r="G109" s="153" t="s">
        <v>331</v>
      </c>
      <c r="H109" s="153" t="s">
        <v>330</v>
      </c>
      <c r="I109" s="153" t="s">
        <v>329</v>
      </c>
      <c r="J109" s="153" t="s">
        <v>334</v>
      </c>
      <c r="K109" s="153" t="s">
        <v>335</v>
      </c>
    </row>
    <row r="110" spans="1:11" ht="15.75" customHeight="1" x14ac:dyDescent="0.25">
      <c r="A110" s="153">
        <v>109</v>
      </c>
      <c r="B110" s="153" t="s">
        <v>446</v>
      </c>
      <c r="C110" s="153" t="s">
        <v>331</v>
      </c>
      <c r="D110" s="153" t="s">
        <v>332</v>
      </c>
      <c r="E110" s="153" t="s">
        <v>383</v>
      </c>
      <c r="F110" s="153" t="s">
        <v>346</v>
      </c>
      <c r="G110" s="153" t="s">
        <v>328</v>
      </c>
      <c r="H110" s="153" t="s">
        <v>330</v>
      </c>
      <c r="I110" s="153" t="s">
        <v>327</v>
      </c>
      <c r="J110" s="153" t="s">
        <v>329</v>
      </c>
      <c r="K110" s="153" t="s">
        <v>335</v>
      </c>
    </row>
    <row r="111" spans="1:11" ht="15.75" customHeight="1" x14ac:dyDescent="0.25">
      <c r="A111" s="153">
        <v>110</v>
      </c>
      <c r="B111" s="153" t="s">
        <v>447</v>
      </c>
      <c r="C111" s="153" t="s">
        <v>331</v>
      </c>
      <c r="D111" s="153" t="s">
        <v>328</v>
      </c>
      <c r="E111" s="153" t="s">
        <v>383</v>
      </c>
      <c r="F111" s="153" t="s">
        <v>346</v>
      </c>
      <c r="G111" s="153" t="s">
        <v>329</v>
      </c>
      <c r="H111" s="153" t="s">
        <v>337</v>
      </c>
      <c r="I111" s="153" t="s">
        <v>333</v>
      </c>
      <c r="J111" s="153" t="s">
        <v>334</v>
      </c>
      <c r="K111" s="153" t="s">
        <v>335</v>
      </c>
    </row>
    <row r="112" spans="1:11" ht="15.75" customHeight="1" x14ac:dyDescent="0.25">
      <c r="A112" s="153">
        <v>111</v>
      </c>
      <c r="B112" s="153" t="s">
        <v>448</v>
      </c>
      <c r="C112" s="153" t="s">
        <v>329</v>
      </c>
      <c r="D112" s="153" t="s">
        <v>332</v>
      </c>
      <c r="E112" s="153" t="s">
        <v>383</v>
      </c>
      <c r="F112" s="153" t="s">
        <v>346</v>
      </c>
      <c r="G112" s="153" t="s">
        <v>328</v>
      </c>
      <c r="H112" s="153" t="s">
        <v>337</v>
      </c>
      <c r="I112" s="153" t="s">
        <v>333</v>
      </c>
      <c r="J112" s="153" t="s">
        <v>334</v>
      </c>
      <c r="K112" s="153" t="s">
        <v>335</v>
      </c>
    </row>
    <row r="113" spans="1:11" ht="15.75" customHeight="1" x14ac:dyDescent="0.25">
      <c r="A113" s="153">
        <v>112</v>
      </c>
      <c r="B113" s="153" t="s">
        <v>449</v>
      </c>
      <c r="C113" s="153" t="s">
        <v>331</v>
      </c>
      <c r="D113" s="153" t="s">
        <v>332</v>
      </c>
      <c r="E113" s="153" t="s">
        <v>383</v>
      </c>
      <c r="F113" s="153" t="s">
        <v>346</v>
      </c>
      <c r="G113" s="153" t="s">
        <v>328</v>
      </c>
      <c r="H113" s="153" t="s">
        <v>337</v>
      </c>
      <c r="I113" s="153" t="s">
        <v>333</v>
      </c>
      <c r="J113" s="153" t="s">
        <v>334</v>
      </c>
      <c r="K113" s="153" t="s">
        <v>335</v>
      </c>
    </row>
    <row r="114" spans="1:11" ht="15.75" customHeight="1" x14ac:dyDescent="0.25">
      <c r="A114" s="153">
        <v>113</v>
      </c>
      <c r="B114" s="153" t="s">
        <v>450</v>
      </c>
      <c r="C114" s="153" t="s">
        <v>331</v>
      </c>
      <c r="D114" s="153" t="s">
        <v>332</v>
      </c>
      <c r="E114" s="153" t="s">
        <v>383</v>
      </c>
      <c r="F114" s="153" t="s">
        <v>346</v>
      </c>
      <c r="G114" s="153" t="s">
        <v>329</v>
      </c>
      <c r="H114" s="153" t="s">
        <v>337</v>
      </c>
      <c r="I114" s="153" t="s">
        <v>333</v>
      </c>
      <c r="J114" s="153" t="s">
        <v>334</v>
      </c>
      <c r="K114" s="153" t="s">
        <v>335</v>
      </c>
    </row>
    <row r="115" spans="1:11" ht="15.75" customHeight="1" x14ac:dyDescent="0.25">
      <c r="A115" s="153">
        <v>114</v>
      </c>
      <c r="B115" s="153" t="s">
        <v>451</v>
      </c>
      <c r="C115" s="153" t="s">
        <v>331</v>
      </c>
      <c r="D115" s="153" t="s">
        <v>332</v>
      </c>
      <c r="E115" s="153" t="s">
        <v>383</v>
      </c>
      <c r="F115" s="153" t="s">
        <v>346</v>
      </c>
      <c r="G115" s="153" t="s">
        <v>328</v>
      </c>
      <c r="H115" s="153" t="s">
        <v>337</v>
      </c>
      <c r="I115" s="153" t="s">
        <v>333</v>
      </c>
      <c r="J115" s="153" t="s">
        <v>329</v>
      </c>
      <c r="K115" s="153" t="s">
        <v>335</v>
      </c>
    </row>
    <row r="116" spans="1:11" ht="15.75" customHeight="1" x14ac:dyDescent="0.25">
      <c r="A116" s="153">
        <v>115</v>
      </c>
      <c r="B116" s="153" t="s">
        <v>452</v>
      </c>
      <c r="C116" s="153" t="s">
        <v>331</v>
      </c>
      <c r="D116" s="153" t="s">
        <v>332</v>
      </c>
      <c r="E116" s="153" t="s">
        <v>383</v>
      </c>
      <c r="F116" s="153" t="s">
        <v>346</v>
      </c>
      <c r="G116" s="153" t="s">
        <v>328</v>
      </c>
      <c r="H116" s="153" t="s">
        <v>337</v>
      </c>
      <c r="I116" s="153" t="s">
        <v>329</v>
      </c>
      <c r="J116" s="153" t="s">
        <v>334</v>
      </c>
      <c r="K116" s="153" t="s">
        <v>335</v>
      </c>
    </row>
    <row r="117" spans="1:11" ht="15.75" customHeight="1" x14ac:dyDescent="0.25">
      <c r="A117" s="153">
        <v>116</v>
      </c>
      <c r="B117" s="153" t="s">
        <v>453</v>
      </c>
      <c r="C117" s="153" t="s">
        <v>346</v>
      </c>
      <c r="D117" s="153" t="s">
        <v>328</v>
      </c>
      <c r="E117" s="153" t="s">
        <v>383</v>
      </c>
      <c r="F117" s="153" t="s">
        <v>337</v>
      </c>
      <c r="G117" s="153" t="s">
        <v>329</v>
      </c>
      <c r="H117" s="153" t="s">
        <v>330</v>
      </c>
      <c r="I117" s="153" t="s">
        <v>333</v>
      </c>
      <c r="J117" s="153" t="s">
        <v>334</v>
      </c>
      <c r="K117" s="153" t="s">
        <v>335</v>
      </c>
    </row>
    <row r="118" spans="1:11" ht="15.75" customHeight="1" x14ac:dyDescent="0.25">
      <c r="A118" s="153">
        <v>117</v>
      </c>
      <c r="B118" s="153" t="s">
        <v>454</v>
      </c>
      <c r="C118" s="153" t="s">
        <v>346</v>
      </c>
      <c r="D118" s="153" t="s">
        <v>328</v>
      </c>
      <c r="E118" s="153" t="s">
        <v>383</v>
      </c>
      <c r="F118" s="153" t="s">
        <v>337</v>
      </c>
      <c r="G118" s="153" t="s">
        <v>331</v>
      </c>
      <c r="H118" s="153" t="s">
        <v>330</v>
      </c>
      <c r="I118" s="153" t="s">
        <v>333</v>
      </c>
      <c r="J118" s="153" t="s">
        <v>334</v>
      </c>
      <c r="K118" s="153" t="s">
        <v>335</v>
      </c>
    </row>
    <row r="119" spans="1:11" ht="15.75" customHeight="1" x14ac:dyDescent="0.25">
      <c r="A119" s="153">
        <v>118</v>
      </c>
      <c r="B119" s="153" t="s">
        <v>455</v>
      </c>
      <c r="C119" s="153" t="s">
        <v>346</v>
      </c>
      <c r="D119" s="153" t="s">
        <v>329</v>
      </c>
      <c r="E119" s="153" t="s">
        <v>383</v>
      </c>
      <c r="F119" s="153" t="s">
        <v>337</v>
      </c>
      <c r="G119" s="153" t="s">
        <v>331</v>
      </c>
      <c r="H119" s="153" t="s">
        <v>330</v>
      </c>
      <c r="I119" s="153" t="s">
        <v>333</v>
      </c>
      <c r="J119" s="153" t="s">
        <v>334</v>
      </c>
      <c r="K119" s="153" t="s">
        <v>335</v>
      </c>
    </row>
    <row r="120" spans="1:11" ht="15.75" customHeight="1" x14ac:dyDescent="0.25">
      <c r="A120" s="153">
        <v>119</v>
      </c>
      <c r="B120" s="153" t="s">
        <v>456</v>
      </c>
      <c r="C120" s="153" t="s">
        <v>346</v>
      </c>
      <c r="D120" s="153" t="s">
        <v>328</v>
      </c>
      <c r="E120" s="153" t="s">
        <v>383</v>
      </c>
      <c r="F120" s="153" t="s">
        <v>337</v>
      </c>
      <c r="G120" s="153" t="s">
        <v>331</v>
      </c>
      <c r="H120" s="153" t="s">
        <v>330</v>
      </c>
      <c r="I120" s="153" t="s">
        <v>333</v>
      </c>
      <c r="J120" s="153" t="s">
        <v>329</v>
      </c>
      <c r="K120" s="153" t="s">
        <v>335</v>
      </c>
    </row>
    <row r="121" spans="1:11" ht="15.75" customHeight="1" x14ac:dyDescent="0.25">
      <c r="A121" s="153">
        <v>120</v>
      </c>
      <c r="B121" s="153" t="s">
        <v>457</v>
      </c>
      <c r="C121" s="153" t="s">
        <v>346</v>
      </c>
      <c r="D121" s="153" t="s">
        <v>328</v>
      </c>
      <c r="E121" s="153" t="s">
        <v>383</v>
      </c>
      <c r="F121" s="153" t="s">
        <v>337</v>
      </c>
      <c r="G121" s="153" t="s">
        <v>331</v>
      </c>
      <c r="H121" s="153" t="s">
        <v>330</v>
      </c>
      <c r="I121" s="153" t="s">
        <v>329</v>
      </c>
      <c r="J121" s="153" t="s">
        <v>334</v>
      </c>
      <c r="K121" s="153" t="s">
        <v>335</v>
      </c>
    </row>
    <row r="122" spans="1:11" ht="15.75" customHeight="1" x14ac:dyDescent="0.25">
      <c r="A122" s="153">
        <v>121</v>
      </c>
      <c r="B122" s="153" t="s">
        <v>458</v>
      </c>
      <c r="C122" s="153" t="s">
        <v>346</v>
      </c>
      <c r="D122" s="153" t="s">
        <v>332</v>
      </c>
      <c r="E122" s="153" t="s">
        <v>383</v>
      </c>
      <c r="F122" s="153" t="s">
        <v>337</v>
      </c>
      <c r="G122" s="153" t="s">
        <v>328</v>
      </c>
      <c r="H122" s="153" t="s">
        <v>330</v>
      </c>
      <c r="I122" s="153" t="s">
        <v>333</v>
      </c>
      <c r="J122" s="153" t="s">
        <v>334</v>
      </c>
      <c r="K122" s="153" t="s">
        <v>335</v>
      </c>
    </row>
    <row r="123" spans="1:11" ht="15.75" customHeight="1" x14ac:dyDescent="0.25">
      <c r="A123" s="153">
        <v>122</v>
      </c>
      <c r="B123" s="153" t="s">
        <v>459</v>
      </c>
      <c r="C123" s="153" t="s">
        <v>346</v>
      </c>
      <c r="D123" s="153" t="s">
        <v>332</v>
      </c>
      <c r="E123" s="153" t="s">
        <v>383</v>
      </c>
      <c r="F123" s="153" t="s">
        <v>337</v>
      </c>
      <c r="G123" s="153" t="s">
        <v>329</v>
      </c>
      <c r="H123" s="153" t="s">
        <v>330</v>
      </c>
      <c r="I123" s="153" t="s">
        <v>333</v>
      </c>
      <c r="J123" s="153" t="s">
        <v>334</v>
      </c>
      <c r="K123" s="153" t="s">
        <v>335</v>
      </c>
    </row>
    <row r="124" spans="1:11" ht="15.75" customHeight="1" x14ac:dyDescent="0.25">
      <c r="A124" s="153">
        <v>123</v>
      </c>
      <c r="B124" s="153" t="s">
        <v>460</v>
      </c>
      <c r="C124" s="153" t="s">
        <v>346</v>
      </c>
      <c r="D124" s="153" t="s">
        <v>332</v>
      </c>
      <c r="E124" s="153" t="s">
        <v>383</v>
      </c>
      <c r="F124" s="153" t="s">
        <v>337</v>
      </c>
      <c r="G124" s="153" t="s">
        <v>328</v>
      </c>
      <c r="H124" s="153" t="s">
        <v>330</v>
      </c>
      <c r="I124" s="153" t="s">
        <v>333</v>
      </c>
      <c r="J124" s="153" t="s">
        <v>329</v>
      </c>
      <c r="K124" s="153" t="s">
        <v>335</v>
      </c>
    </row>
    <row r="125" spans="1:11" ht="15.75" customHeight="1" x14ac:dyDescent="0.25">
      <c r="A125" s="153">
        <v>124</v>
      </c>
      <c r="B125" s="153" t="s">
        <v>461</v>
      </c>
      <c r="C125" s="153" t="s">
        <v>346</v>
      </c>
      <c r="D125" s="153" t="s">
        <v>332</v>
      </c>
      <c r="E125" s="153" t="s">
        <v>383</v>
      </c>
      <c r="F125" s="153" t="s">
        <v>337</v>
      </c>
      <c r="G125" s="153" t="s">
        <v>328</v>
      </c>
      <c r="H125" s="153" t="s">
        <v>330</v>
      </c>
      <c r="I125" s="153" t="s">
        <v>329</v>
      </c>
      <c r="J125" s="153" t="s">
        <v>334</v>
      </c>
      <c r="K125" s="153" t="s">
        <v>335</v>
      </c>
    </row>
    <row r="126" spans="1:11" ht="15.75" customHeight="1" x14ac:dyDescent="0.25">
      <c r="A126" s="153">
        <v>125</v>
      </c>
      <c r="B126" s="153" t="s">
        <v>462</v>
      </c>
      <c r="C126" s="153" t="s">
        <v>346</v>
      </c>
      <c r="D126" s="153" t="s">
        <v>332</v>
      </c>
      <c r="E126" s="153" t="s">
        <v>383</v>
      </c>
      <c r="F126" s="153" t="s">
        <v>337</v>
      </c>
      <c r="G126" s="153" t="s">
        <v>331</v>
      </c>
      <c r="H126" s="153" t="s">
        <v>330</v>
      </c>
      <c r="I126" s="153" t="s">
        <v>333</v>
      </c>
      <c r="J126" s="153" t="s">
        <v>334</v>
      </c>
      <c r="K126" s="153" t="s">
        <v>335</v>
      </c>
    </row>
    <row r="127" spans="1:11" ht="15.75" customHeight="1" x14ac:dyDescent="0.25">
      <c r="A127" s="153">
        <v>126</v>
      </c>
      <c r="B127" s="153" t="s">
        <v>463</v>
      </c>
      <c r="C127" s="153" t="s">
        <v>346</v>
      </c>
      <c r="D127" s="153" t="s">
        <v>332</v>
      </c>
      <c r="E127" s="153" t="s">
        <v>383</v>
      </c>
      <c r="F127" s="153" t="s">
        <v>337</v>
      </c>
      <c r="G127" s="153" t="s">
        <v>331</v>
      </c>
      <c r="H127" s="153" t="s">
        <v>330</v>
      </c>
      <c r="I127" s="153" t="s">
        <v>333</v>
      </c>
      <c r="J127" s="153" t="s">
        <v>328</v>
      </c>
      <c r="K127" s="153" t="s">
        <v>335</v>
      </c>
    </row>
    <row r="128" spans="1:11" ht="15.75" customHeight="1" x14ac:dyDescent="0.25">
      <c r="A128" s="153">
        <v>127</v>
      </c>
      <c r="B128" s="153" t="s">
        <v>464</v>
      </c>
      <c r="C128" s="153" t="s">
        <v>331</v>
      </c>
      <c r="D128" s="153" t="s">
        <v>332</v>
      </c>
      <c r="E128" s="153" t="s">
        <v>383</v>
      </c>
      <c r="F128" s="153" t="s">
        <v>346</v>
      </c>
      <c r="G128" s="153" t="s">
        <v>328</v>
      </c>
      <c r="H128" s="153" t="s">
        <v>330</v>
      </c>
      <c r="I128" s="153" t="s">
        <v>337</v>
      </c>
      <c r="J128" s="153" t="s">
        <v>334</v>
      </c>
      <c r="K128" s="153" t="s">
        <v>335</v>
      </c>
    </row>
    <row r="129" spans="1:11" ht="15.75" customHeight="1" x14ac:dyDescent="0.25">
      <c r="A129" s="153">
        <v>128</v>
      </c>
      <c r="B129" s="153" t="s">
        <v>465</v>
      </c>
      <c r="C129" s="153" t="s">
        <v>346</v>
      </c>
      <c r="D129" s="153" t="s">
        <v>332</v>
      </c>
      <c r="E129" s="153" t="s">
        <v>383</v>
      </c>
      <c r="F129" s="153" t="s">
        <v>337</v>
      </c>
      <c r="G129" s="153" t="s">
        <v>331</v>
      </c>
      <c r="H129" s="153" t="s">
        <v>330</v>
      </c>
      <c r="I129" s="153" t="s">
        <v>333</v>
      </c>
      <c r="J129" s="153" t="s">
        <v>329</v>
      </c>
      <c r="K129" s="153" t="s">
        <v>335</v>
      </c>
    </row>
    <row r="130" spans="1:11" ht="15.75" customHeight="1" x14ac:dyDescent="0.25">
      <c r="A130" s="153">
        <v>129</v>
      </c>
      <c r="B130" s="153" t="s">
        <v>466</v>
      </c>
      <c r="C130" s="153" t="s">
        <v>346</v>
      </c>
      <c r="D130" s="153" t="s">
        <v>332</v>
      </c>
      <c r="E130" s="153" t="s">
        <v>383</v>
      </c>
      <c r="F130" s="153" t="s">
        <v>337</v>
      </c>
      <c r="G130" s="153" t="s">
        <v>331</v>
      </c>
      <c r="H130" s="153" t="s">
        <v>330</v>
      </c>
      <c r="I130" s="153" t="s">
        <v>329</v>
      </c>
      <c r="J130" s="153" t="s">
        <v>334</v>
      </c>
      <c r="K130" s="153" t="s">
        <v>335</v>
      </c>
    </row>
    <row r="131" spans="1:11" ht="15.75" customHeight="1" x14ac:dyDescent="0.25">
      <c r="A131" s="153">
        <v>130</v>
      </c>
      <c r="B131" s="153" t="s">
        <v>467</v>
      </c>
      <c r="C131" s="153" t="s">
        <v>331</v>
      </c>
      <c r="D131" s="153" t="s">
        <v>332</v>
      </c>
      <c r="E131" s="153" t="s">
        <v>383</v>
      </c>
      <c r="F131" s="153" t="s">
        <v>346</v>
      </c>
      <c r="G131" s="153" t="s">
        <v>328</v>
      </c>
      <c r="H131" s="153" t="s">
        <v>330</v>
      </c>
      <c r="I131" s="153" t="s">
        <v>337</v>
      </c>
      <c r="J131" s="153" t="s">
        <v>329</v>
      </c>
      <c r="K131" s="153" t="s">
        <v>335</v>
      </c>
    </row>
    <row r="132" spans="1:11" ht="15.75" customHeight="1" x14ac:dyDescent="0.25">
      <c r="A132" s="153">
        <v>131</v>
      </c>
      <c r="B132" s="153" t="s">
        <v>468</v>
      </c>
      <c r="C132" s="153" t="s">
        <v>327</v>
      </c>
      <c r="D132" s="153" t="s">
        <v>328</v>
      </c>
      <c r="E132" s="153" t="s">
        <v>383</v>
      </c>
      <c r="F132" s="153" t="s">
        <v>346</v>
      </c>
      <c r="G132" s="153" t="s">
        <v>329</v>
      </c>
      <c r="H132" s="153" t="s">
        <v>337</v>
      </c>
      <c r="I132" s="153" t="s">
        <v>333</v>
      </c>
      <c r="J132" s="153" t="s">
        <v>334</v>
      </c>
      <c r="K132" s="153" t="s">
        <v>335</v>
      </c>
    </row>
    <row r="133" spans="1:11" ht="15.75" customHeight="1" x14ac:dyDescent="0.25">
      <c r="A133" s="153">
        <v>132</v>
      </c>
      <c r="B133" s="153" t="s">
        <v>469</v>
      </c>
      <c r="C133" s="153" t="s">
        <v>327</v>
      </c>
      <c r="D133" s="153" t="s">
        <v>328</v>
      </c>
      <c r="E133" s="153" t="s">
        <v>383</v>
      </c>
      <c r="F133" s="153" t="s">
        <v>346</v>
      </c>
      <c r="G133" s="153" t="s">
        <v>331</v>
      </c>
      <c r="H133" s="153" t="s">
        <v>337</v>
      </c>
      <c r="I133" s="153" t="s">
        <v>333</v>
      </c>
      <c r="J133" s="153" t="s">
        <v>334</v>
      </c>
      <c r="K133" s="153" t="s">
        <v>335</v>
      </c>
    </row>
    <row r="134" spans="1:11" ht="15.75" customHeight="1" x14ac:dyDescent="0.25">
      <c r="A134" s="153">
        <v>133</v>
      </c>
      <c r="B134" s="153" t="s">
        <v>470</v>
      </c>
      <c r="C134" s="153" t="s">
        <v>327</v>
      </c>
      <c r="D134" s="153" t="s">
        <v>329</v>
      </c>
      <c r="E134" s="153" t="s">
        <v>383</v>
      </c>
      <c r="F134" s="153" t="s">
        <v>346</v>
      </c>
      <c r="G134" s="153" t="s">
        <v>331</v>
      </c>
      <c r="H134" s="153" t="s">
        <v>337</v>
      </c>
      <c r="I134" s="153" t="s">
        <v>333</v>
      </c>
      <c r="J134" s="153" t="s">
        <v>334</v>
      </c>
      <c r="K134" s="153" t="s">
        <v>335</v>
      </c>
    </row>
    <row r="135" spans="1:11" ht="15.75" customHeight="1" x14ac:dyDescent="0.25">
      <c r="A135" s="153">
        <v>134</v>
      </c>
      <c r="B135" s="153" t="s">
        <v>471</v>
      </c>
      <c r="C135" s="153" t="s">
        <v>327</v>
      </c>
      <c r="D135" s="153" t="s">
        <v>328</v>
      </c>
      <c r="E135" s="153" t="s">
        <v>383</v>
      </c>
      <c r="F135" s="153" t="s">
        <v>346</v>
      </c>
      <c r="G135" s="153" t="s">
        <v>331</v>
      </c>
      <c r="H135" s="153" t="s">
        <v>337</v>
      </c>
      <c r="I135" s="153" t="s">
        <v>333</v>
      </c>
      <c r="J135" s="153" t="s">
        <v>329</v>
      </c>
      <c r="K135" s="153" t="s">
        <v>335</v>
      </c>
    </row>
    <row r="136" spans="1:11" ht="15.75" customHeight="1" x14ac:dyDescent="0.25">
      <c r="A136" s="153">
        <v>135</v>
      </c>
      <c r="B136" s="153" t="s">
        <v>472</v>
      </c>
      <c r="C136" s="153" t="s">
        <v>327</v>
      </c>
      <c r="D136" s="153" t="s">
        <v>328</v>
      </c>
      <c r="E136" s="153" t="s">
        <v>383</v>
      </c>
      <c r="F136" s="153" t="s">
        <v>346</v>
      </c>
      <c r="G136" s="153" t="s">
        <v>331</v>
      </c>
      <c r="H136" s="153" t="s">
        <v>337</v>
      </c>
      <c r="I136" s="153" t="s">
        <v>329</v>
      </c>
      <c r="J136" s="153" t="s">
        <v>334</v>
      </c>
      <c r="K136" s="153" t="s">
        <v>335</v>
      </c>
    </row>
    <row r="137" spans="1:11" ht="15.75" customHeight="1" x14ac:dyDescent="0.25">
      <c r="A137" s="153">
        <v>136</v>
      </c>
      <c r="B137" s="153" t="s">
        <v>473</v>
      </c>
      <c r="C137" s="153" t="s">
        <v>327</v>
      </c>
      <c r="D137" s="153" t="s">
        <v>332</v>
      </c>
      <c r="E137" s="153" t="s">
        <v>383</v>
      </c>
      <c r="F137" s="153" t="s">
        <v>346</v>
      </c>
      <c r="G137" s="153" t="s">
        <v>328</v>
      </c>
      <c r="H137" s="153" t="s">
        <v>337</v>
      </c>
      <c r="I137" s="153" t="s">
        <v>333</v>
      </c>
      <c r="J137" s="153" t="s">
        <v>334</v>
      </c>
      <c r="K137" s="153" t="s">
        <v>335</v>
      </c>
    </row>
    <row r="138" spans="1:11" ht="15.75" customHeight="1" x14ac:dyDescent="0.25">
      <c r="A138" s="153">
        <v>137</v>
      </c>
      <c r="B138" s="153" t="s">
        <v>474</v>
      </c>
      <c r="C138" s="153" t="s">
        <v>327</v>
      </c>
      <c r="D138" s="153" t="s">
        <v>332</v>
      </c>
      <c r="E138" s="153" t="s">
        <v>383</v>
      </c>
      <c r="F138" s="153" t="s">
        <v>346</v>
      </c>
      <c r="G138" s="153" t="s">
        <v>329</v>
      </c>
      <c r="H138" s="153" t="s">
        <v>337</v>
      </c>
      <c r="I138" s="153" t="s">
        <v>333</v>
      </c>
      <c r="J138" s="153" t="s">
        <v>334</v>
      </c>
      <c r="K138" s="153" t="s">
        <v>335</v>
      </c>
    </row>
    <row r="139" spans="1:11" ht="15.75" customHeight="1" x14ac:dyDescent="0.25">
      <c r="A139" s="153">
        <v>138</v>
      </c>
      <c r="B139" s="153" t="s">
        <v>475</v>
      </c>
      <c r="C139" s="153" t="s">
        <v>327</v>
      </c>
      <c r="D139" s="153" t="s">
        <v>332</v>
      </c>
      <c r="E139" s="153" t="s">
        <v>383</v>
      </c>
      <c r="F139" s="153" t="s">
        <v>346</v>
      </c>
      <c r="G139" s="153" t="s">
        <v>328</v>
      </c>
      <c r="H139" s="153" t="s">
        <v>337</v>
      </c>
      <c r="I139" s="153" t="s">
        <v>333</v>
      </c>
      <c r="J139" s="153" t="s">
        <v>329</v>
      </c>
      <c r="K139" s="153" t="s">
        <v>335</v>
      </c>
    </row>
    <row r="140" spans="1:11" ht="15.75" customHeight="1" x14ac:dyDescent="0.25">
      <c r="A140" s="153">
        <v>139</v>
      </c>
      <c r="B140" s="153" t="s">
        <v>476</v>
      </c>
      <c r="C140" s="153" t="s">
        <v>327</v>
      </c>
      <c r="D140" s="153" t="s">
        <v>332</v>
      </c>
      <c r="E140" s="153" t="s">
        <v>383</v>
      </c>
      <c r="F140" s="153" t="s">
        <v>346</v>
      </c>
      <c r="G140" s="153" t="s">
        <v>328</v>
      </c>
      <c r="H140" s="153" t="s">
        <v>337</v>
      </c>
      <c r="I140" s="153" t="s">
        <v>329</v>
      </c>
      <c r="J140" s="153" t="s">
        <v>334</v>
      </c>
      <c r="K140" s="153" t="s">
        <v>335</v>
      </c>
    </row>
    <row r="141" spans="1:11" ht="15.75" customHeight="1" x14ac:dyDescent="0.25">
      <c r="A141" s="153">
        <v>140</v>
      </c>
      <c r="B141" s="153" t="s">
        <v>477</v>
      </c>
      <c r="C141" s="153" t="s">
        <v>327</v>
      </c>
      <c r="D141" s="153" t="s">
        <v>332</v>
      </c>
      <c r="E141" s="153" t="s">
        <v>383</v>
      </c>
      <c r="F141" s="153" t="s">
        <v>346</v>
      </c>
      <c r="G141" s="153" t="s">
        <v>331</v>
      </c>
      <c r="H141" s="153" t="s">
        <v>337</v>
      </c>
      <c r="I141" s="153" t="s">
        <v>333</v>
      </c>
      <c r="J141" s="153" t="s">
        <v>334</v>
      </c>
      <c r="K141" s="153" t="s">
        <v>335</v>
      </c>
    </row>
    <row r="142" spans="1:11" ht="15.75" customHeight="1" x14ac:dyDescent="0.25">
      <c r="A142" s="153">
        <v>141</v>
      </c>
      <c r="B142" s="153" t="s">
        <v>478</v>
      </c>
      <c r="C142" s="153" t="s">
        <v>331</v>
      </c>
      <c r="D142" s="153" t="s">
        <v>332</v>
      </c>
      <c r="E142" s="153" t="s">
        <v>383</v>
      </c>
      <c r="F142" s="153" t="s">
        <v>346</v>
      </c>
      <c r="G142" s="153" t="s">
        <v>328</v>
      </c>
      <c r="H142" s="153" t="s">
        <v>337</v>
      </c>
      <c r="I142" s="153" t="s">
        <v>333</v>
      </c>
      <c r="J142" s="153" t="s">
        <v>327</v>
      </c>
      <c r="K142" s="153" t="s">
        <v>335</v>
      </c>
    </row>
    <row r="143" spans="1:11" ht="15.75" customHeight="1" x14ac:dyDescent="0.25">
      <c r="A143" s="153">
        <v>142</v>
      </c>
      <c r="B143" s="153" t="s">
        <v>479</v>
      </c>
      <c r="C143" s="153" t="s">
        <v>331</v>
      </c>
      <c r="D143" s="153" t="s">
        <v>332</v>
      </c>
      <c r="E143" s="153" t="s">
        <v>383</v>
      </c>
      <c r="F143" s="153" t="s">
        <v>346</v>
      </c>
      <c r="G143" s="153" t="s">
        <v>328</v>
      </c>
      <c r="H143" s="153" t="s">
        <v>337</v>
      </c>
      <c r="I143" s="153" t="s">
        <v>327</v>
      </c>
      <c r="J143" s="153" t="s">
        <v>334</v>
      </c>
      <c r="K143" s="153" t="s">
        <v>335</v>
      </c>
    </row>
    <row r="144" spans="1:11" ht="15.75" customHeight="1" x14ac:dyDescent="0.25">
      <c r="A144" s="153">
        <v>143</v>
      </c>
      <c r="B144" s="153" t="s">
        <v>480</v>
      </c>
      <c r="C144" s="153" t="s">
        <v>327</v>
      </c>
      <c r="D144" s="153" t="s">
        <v>332</v>
      </c>
      <c r="E144" s="153" t="s">
        <v>383</v>
      </c>
      <c r="F144" s="153" t="s">
        <v>346</v>
      </c>
      <c r="G144" s="153" t="s">
        <v>331</v>
      </c>
      <c r="H144" s="153" t="s">
        <v>337</v>
      </c>
      <c r="I144" s="153" t="s">
        <v>333</v>
      </c>
      <c r="J144" s="153" t="s">
        <v>329</v>
      </c>
      <c r="K144" s="153" t="s">
        <v>335</v>
      </c>
    </row>
    <row r="145" spans="1:11" ht="15.75" customHeight="1" x14ac:dyDescent="0.25">
      <c r="A145" s="153">
        <v>144</v>
      </c>
      <c r="B145" s="153" t="s">
        <v>481</v>
      </c>
      <c r="C145" s="153" t="s">
        <v>327</v>
      </c>
      <c r="D145" s="153" t="s">
        <v>332</v>
      </c>
      <c r="E145" s="153" t="s">
        <v>383</v>
      </c>
      <c r="F145" s="153" t="s">
        <v>346</v>
      </c>
      <c r="G145" s="153" t="s">
        <v>331</v>
      </c>
      <c r="H145" s="153" t="s">
        <v>337</v>
      </c>
      <c r="I145" s="153" t="s">
        <v>329</v>
      </c>
      <c r="J145" s="153" t="s">
        <v>334</v>
      </c>
      <c r="K145" s="153" t="s">
        <v>335</v>
      </c>
    </row>
    <row r="146" spans="1:11" ht="15.75" customHeight="1" x14ac:dyDescent="0.25">
      <c r="A146" s="153">
        <v>145</v>
      </c>
      <c r="B146" s="153" t="s">
        <v>482</v>
      </c>
      <c r="C146" s="153" t="s">
        <v>331</v>
      </c>
      <c r="D146" s="153" t="s">
        <v>332</v>
      </c>
      <c r="E146" s="153" t="s">
        <v>383</v>
      </c>
      <c r="F146" s="153" t="s">
        <v>346</v>
      </c>
      <c r="G146" s="153" t="s">
        <v>328</v>
      </c>
      <c r="H146" s="153" t="s">
        <v>337</v>
      </c>
      <c r="I146" s="153" t="s">
        <v>327</v>
      </c>
      <c r="J146" s="153" t="s">
        <v>329</v>
      </c>
      <c r="K146" s="153" t="s">
        <v>335</v>
      </c>
    </row>
    <row r="147" spans="1:11" ht="15.75" customHeight="1" x14ac:dyDescent="0.25">
      <c r="A147" s="153">
        <v>146</v>
      </c>
      <c r="B147" s="153" t="s">
        <v>483</v>
      </c>
      <c r="C147" s="153" t="s">
        <v>346</v>
      </c>
      <c r="D147" s="153" t="s">
        <v>328</v>
      </c>
      <c r="E147" s="153" t="s">
        <v>383</v>
      </c>
      <c r="F147" s="153" t="s">
        <v>337</v>
      </c>
      <c r="G147" s="153" t="s">
        <v>327</v>
      </c>
      <c r="H147" s="153" t="s">
        <v>330</v>
      </c>
      <c r="I147" s="153" t="s">
        <v>333</v>
      </c>
      <c r="J147" s="153" t="s">
        <v>334</v>
      </c>
      <c r="K147" s="153" t="s">
        <v>335</v>
      </c>
    </row>
    <row r="148" spans="1:11" ht="15.75" customHeight="1" x14ac:dyDescent="0.25">
      <c r="A148" s="153">
        <v>147</v>
      </c>
      <c r="B148" s="153" t="s">
        <v>484</v>
      </c>
      <c r="C148" s="153" t="s">
        <v>346</v>
      </c>
      <c r="D148" s="153" t="s">
        <v>327</v>
      </c>
      <c r="E148" s="153" t="s">
        <v>383</v>
      </c>
      <c r="F148" s="153" t="s">
        <v>337</v>
      </c>
      <c r="G148" s="153" t="s">
        <v>329</v>
      </c>
      <c r="H148" s="153" t="s">
        <v>330</v>
      </c>
      <c r="I148" s="153" t="s">
        <v>333</v>
      </c>
      <c r="J148" s="153" t="s">
        <v>334</v>
      </c>
      <c r="K148" s="153" t="s">
        <v>335</v>
      </c>
    </row>
    <row r="149" spans="1:11" ht="15.75" customHeight="1" x14ac:dyDescent="0.25">
      <c r="A149" s="153">
        <v>148</v>
      </c>
      <c r="B149" s="153" t="s">
        <v>485</v>
      </c>
      <c r="C149" s="153" t="s">
        <v>346</v>
      </c>
      <c r="D149" s="153" t="s">
        <v>328</v>
      </c>
      <c r="E149" s="153" t="s">
        <v>383</v>
      </c>
      <c r="F149" s="153" t="s">
        <v>337</v>
      </c>
      <c r="G149" s="153" t="s">
        <v>327</v>
      </c>
      <c r="H149" s="153" t="s">
        <v>330</v>
      </c>
      <c r="I149" s="153" t="s">
        <v>333</v>
      </c>
      <c r="J149" s="153" t="s">
        <v>329</v>
      </c>
      <c r="K149" s="153" t="s">
        <v>335</v>
      </c>
    </row>
    <row r="150" spans="1:11" ht="15.75" customHeight="1" x14ac:dyDescent="0.25">
      <c r="A150" s="153">
        <v>149</v>
      </c>
      <c r="B150" s="153" t="s">
        <v>486</v>
      </c>
      <c r="C150" s="153" t="s">
        <v>346</v>
      </c>
      <c r="D150" s="153" t="s">
        <v>328</v>
      </c>
      <c r="E150" s="153" t="s">
        <v>383</v>
      </c>
      <c r="F150" s="153" t="s">
        <v>337</v>
      </c>
      <c r="G150" s="153" t="s">
        <v>327</v>
      </c>
      <c r="H150" s="153" t="s">
        <v>330</v>
      </c>
      <c r="I150" s="153" t="s">
        <v>329</v>
      </c>
      <c r="J150" s="153" t="s">
        <v>334</v>
      </c>
      <c r="K150" s="153" t="s">
        <v>335</v>
      </c>
    </row>
    <row r="151" spans="1:11" ht="15.75" customHeight="1" x14ac:dyDescent="0.25">
      <c r="A151" s="153">
        <v>150</v>
      </c>
      <c r="B151" s="153" t="s">
        <v>487</v>
      </c>
      <c r="C151" s="153" t="s">
        <v>346</v>
      </c>
      <c r="D151" s="153" t="s">
        <v>327</v>
      </c>
      <c r="E151" s="153" t="s">
        <v>383</v>
      </c>
      <c r="F151" s="153" t="s">
        <v>337</v>
      </c>
      <c r="G151" s="153" t="s">
        <v>331</v>
      </c>
      <c r="H151" s="153" t="s">
        <v>330</v>
      </c>
      <c r="I151" s="153" t="s">
        <v>333</v>
      </c>
      <c r="J151" s="153" t="s">
        <v>334</v>
      </c>
      <c r="K151" s="153" t="s">
        <v>335</v>
      </c>
    </row>
    <row r="152" spans="1:11" ht="15.75" customHeight="1" x14ac:dyDescent="0.25">
      <c r="A152" s="153">
        <v>151</v>
      </c>
      <c r="B152" s="153" t="s">
        <v>488</v>
      </c>
      <c r="C152" s="153" t="s">
        <v>346</v>
      </c>
      <c r="D152" s="153" t="s">
        <v>328</v>
      </c>
      <c r="E152" s="153" t="s">
        <v>383</v>
      </c>
      <c r="F152" s="153" t="s">
        <v>337</v>
      </c>
      <c r="G152" s="153" t="s">
        <v>331</v>
      </c>
      <c r="H152" s="153" t="s">
        <v>330</v>
      </c>
      <c r="I152" s="153" t="s">
        <v>333</v>
      </c>
      <c r="J152" s="153" t="s">
        <v>327</v>
      </c>
      <c r="K152" s="153" t="s">
        <v>335</v>
      </c>
    </row>
    <row r="153" spans="1:11" ht="15.75" customHeight="1" x14ac:dyDescent="0.25">
      <c r="A153" s="153">
        <v>152</v>
      </c>
      <c r="B153" s="153" t="s">
        <v>489</v>
      </c>
      <c r="C153" s="153" t="s">
        <v>346</v>
      </c>
      <c r="D153" s="153" t="s">
        <v>328</v>
      </c>
      <c r="E153" s="153" t="s">
        <v>383</v>
      </c>
      <c r="F153" s="153" t="s">
        <v>337</v>
      </c>
      <c r="G153" s="153" t="s">
        <v>331</v>
      </c>
      <c r="H153" s="153" t="s">
        <v>330</v>
      </c>
      <c r="I153" s="153" t="s">
        <v>327</v>
      </c>
      <c r="J153" s="153" t="s">
        <v>334</v>
      </c>
      <c r="K153" s="153" t="s">
        <v>335</v>
      </c>
    </row>
    <row r="154" spans="1:11" ht="15.75" customHeight="1" x14ac:dyDescent="0.25">
      <c r="A154" s="153">
        <v>153</v>
      </c>
      <c r="B154" s="153" t="s">
        <v>490</v>
      </c>
      <c r="C154" s="153" t="s">
        <v>346</v>
      </c>
      <c r="D154" s="153" t="s">
        <v>327</v>
      </c>
      <c r="E154" s="153" t="s">
        <v>383</v>
      </c>
      <c r="F154" s="153" t="s">
        <v>337</v>
      </c>
      <c r="G154" s="153" t="s">
        <v>331</v>
      </c>
      <c r="H154" s="153" t="s">
        <v>330</v>
      </c>
      <c r="I154" s="153" t="s">
        <v>333</v>
      </c>
      <c r="J154" s="153" t="s">
        <v>329</v>
      </c>
      <c r="K154" s="153" t="s">
        <v>335</v>
      </c>
    </row>
    <row r="155" spans="1:11" ht="15.75" customHeight="1" x14ac:dyDescent="0.25">
      <c r="A155" s="153">
        <v>154</v>
      </c>
      <c r="B155" s="153" t="s">
        <v>491</v>
      </c>
      <c r="C155" s="153" t="s">
        <v>346</v>
      </c>
      <c r="D155" s="153" t="s">
        <v>327</v>
      </c>
      <c r="E155" s="153" t="s">
        <v>383</v>
      </c>
      <c r="F155" s="153" t="s">
        <v>337</v>
      </c>
      <c r="G155" s="153" t="s">
        <v>331</v>
      </c>
      <c r="H155" s="153" t="s">
        <v>330</v>
      </c>
      <c r="I155" s="153" t="s">
        <v>329</v>
      </c>
      <c r="J155" s="153" t="s">
        <v>334</v>
      </c>
      <c r="K155" s="153" t="s">
        <v>335</v>
      </c>
    </row>
    <row r="156" spans="1:11" ht="15.75" customHeight="1" x14ac:dyDescent="0.25">
      <c r="A156" s="153">
        <v>155</v>
      </c>
      <c r="B156" s="153" t="s">
        <v>492</v>
      </c>
      <c r="C156" s="153" t="s">
        <v>346</v>
      </c>
      <c r="D156" s="153" t="s">
        <v>328</v>
      </c>
      <c r="E156" s="153" t="s">
        <v>383</v>
      </c>
      <c r="F156" s="153" t="s">
        <v>337</v>
      </c>
      <c r="G156" s="153" t="s">
        <v>331</v>
      </c>
      <c r="H156" s="153" t="s">
        <v>330</v>
      </c>
      <c r="I156" s="153" t="s">
        <v>327</v>
      </c>
      <c r="J156" s="153" t="s">
        <v>329</v>
      </c>
      <c r="K156" s="153" t="s">
        <v>335</v>
      </c>
    </row>
    <row r="157" spans="1:11" ht="15.75" customHeight="1" x14ac:dyDescent="0.25">
      <c r="A157" s="153">
        <v>156</v>
      </c>
      <c r="B157" s="153" t="s">
        <v>493</v>
      </c>
      <c r="C157" s="153" t="s">
        <v>346</v>
      </c>
      <c r="D157" s="153" t="s">
        <v>332</v>
      </c>
      <c r="E157" s="153" t="s">
        <v>383</v>
      </c>
      <c r="F157" s="153" t="s">
        <v>337</v>
      </c>
      <c r="G157" s="153" t="s">
        <v>327</v>
      </c>
      <c r="H157" s="153" t="s">
        <v>330</v>
      </c>
      <c r="I157" s="153" t="s">
        <v>333</v>
      </c>
      <c r="J157" s="153" t="s">
        <v>334</v>
      </c>
      <c r="K157" s="153" t="s">
        <v>335</v>
      </c>
    </row>
    <row r="158" spans="1:11" ht="15.75" customHeight="1" x14ac:dyDescent="0.25">
      <c r="A158" s="153">
        <v>157</v>
      </c>
      <c r="B158" s="153" t="s">
        <v>494</v>
      </c>
      <c r="C158" s="153" t="s">
        <v>346</v>
      </c>
      <c r="D158" s="153" t="s">
        <v>332</v>
      </c>
      <c r="E158" s="153" t="s">
        <v>383</v>
      </c>
      <c r="F158" s="153" t="s">
        <v>337</v>
      </c>
      <c r="G158" s="153" t="s">
        <v>328</v>
      </c>
      <c r="H158" s="153" t="s">
        <v>330</v>
      </c>
      <c r="I158" s="153" t="s">
        <v>333</v>
      </c>
      <c r="J158" s="153" t="s">
        <v>327</v>
      </c>
      <c r="K158" s="153" t="s">
        <v>335</v>
      </c>
    </row>
    <row r="159" spans="1:11" ht="15.75" customHeight="1" x14ac:dyDescent="0.25">
      <c r="A159" s="153">
        <v>158</v>
      </c>
      <c r="B159" s="153" t="s">
        <v>495</v>
      </c>
      <c r="C159" s="153" t="s">
        <v>346</v>
      </c>
      <c r="D159" s="153" t="s">
        <v>332</v>
      </c>
      <c r="E159" s="153" t="s">
        <v>383</v>
      </c>
      <c r="F159" s="153" t="s">
        <v>337</v>
      </c>
      <c r="G159" s="153" t="s">
        <v>328</v>
      </c>
      <c r="H159" s="153" t="s">
        <v>330</v>
      </c>
      <c r="I159" s="153" t="s">
        <v>327</v>
      </c>
      <c r="J159" s="153" t="s">
        <v>334</v>
      </c>
      <c r="K159" s="153" t="s">
        <v>335</v>
      </c>
    </row>
    <row r="160" spans="1:11" ht="15.75" customHeight="1" x14ac:dyDescent="0.25">
      <c r="A160" s="153">
        <v>159</v>
      </c>
      <c r="B160" s="153" t="s">
        <v>496</v>
      </c>
      <c r="C160" s="153" t="s">
        <v>346</v>
      </c>
      <c r="D160" s="153" t="s">
        <v>332</v>
      </c>
      <c r="E160" s="153" t="s">
        <v>383</v>
      </c>
      <c r="F160" s="153" t="s">
        <v>337</v>
      </c>
      <c r="G160" s="153" t="s">
        <v>327</v>
      </c>
      <c r="H160" s="153" t="s">
        <v>330</v>
      </c>
      <c r="I160" s="153" t="s">
        <v>333</v>
      </c>
      <c r="J160" s="153" t="s">
        <v>329</v>
      </c>
      <c r="K160" s="153" t="s">
        <v>335</v>
      </c>
    </row>
    <row r="161" spans="1:11" ht="15.75" customHeight="1" x14ac:dyDescent="0.25">
      <c r="A161" s="153">
        <v>160</v>
      </c>
      <c r="B161" s="153" t="s">
        <v>497</v>
      </c>
      <c r="C161" s="153" t="s">
        <v>346</v>
      </c>
      <c r="D161" s="153" t="s">
        <v>332</v>
      </c>
      <c r="E161" s="153" t="s">
        <v>383</v>
      </c>
      <c r="F161" s="153" t="s">
        <v>337</v>
      </c>
      <c r="G161" s="153" t="s">
        <v>327</v>
      </c>
      <c r="H161" s="153" t="s">
        <v>330</v>
      </c>
      <c r="I161" s="153" t="s">
        <v>329</v>
      </c>
      <c r="J161" s="153" t="s">
        <v>334</v>
      </c>
      <c r="K161" s="153" t="s">
        <v>335</v>
      </c>
    </row>
    <row r="162" spans="1:11" ht="15.75" customHeight="1" x14ac:dyDescent="0.25">
      <c r="A162" s="153">
        <v>161</v>
      </c>
      <c r="B162" s="153" t="s">
        <v>498</v>
      </c>
      <c r="C162" s="153" t="s">
        <v>346</v>
      </c>
      <c r="D162" s="153" t="s">
        <v>332</v>
      </c>
      <c r="E162" s="153" t="s">
        <v>383</v>
      </c>
      <c r="F162" s="153" t="s">
        <v>337</v>
      </c>
      <c r="G162" s="153" t="s">
        <v>328</v>
      </c>
      <c r="H162" s="153" t="s">
        <v>330</v>
      </c>
      <c r="I162" s="153" t="s">
        <v>327</v>
      </c>
      <c r="J162" s="153" t="s">
        <v>329</v>
      </c>
      <c r="K162" s="153" t="s">
        <v>335</v>
      </c>
    </row>
    <row r="163" spans="1:11" ht="15.75" customHeight="1" x14ac:dyDescent="0.25">
      <c r="A163" s="153">
        <v>162</v>
      </c>
      <c r="B163" s="153" t="s">
        <v>499</v>
      </c>
      <c r="C163" s="153" t="s">
        <v>346</v>
      </c>
      <c r="D163" s="153" t="s">
        <v>332</v>
      </c>
      <c r="E163" s="153" t="s">
        <v>383</v>
      </c>
      <c r="F163" s="153" t="s">
        <v>337</v>
      </c>
      <c r="G163" s="153" t="s">
        <v>331</v>
      </c>
      <c r="H163" s="153" t="s">
        <v>330</v>
      </c>
      <c r="I163" s="153" t="s">
        <v>333</v>
      </c>
      <c r="J163" s="153" t="s">
        <v>327</v>
      </c>
      <c r="K163" s="153" t="s">
        <v>335</v>
      </c>
    </row>
    <row r="164" spans="1:11" ht="15.75" customHeight="1" x14ac:dyDescent="0.25">
      <c r="A164" s="153">
        <v>163</v>
      </c>
      <c r="B164" s="153" t="s">
        <v>500</v>
      </c>
      <c r="C164" s="153" t="s">
        <v>346</v>
      </c>
      <c r="D164" s="153" t="s">
        <v>332</v>
      </c>
      <c r="E164" s="153" t="s">
        <v>383</v>
      </c>
      <c r="F164" s="153" t="s">
        <v>337</v>
      </c>
      <c r="G164" s="153" t="s">
        <v>331</v>
      </c>
      <c r="H164" s="153" t="s">
        <v>330</v>
      </c>
      <c r="I164" s="153" t="s">
        <v>327</v>
      </c>
      <c r="J164" s="153" t="s">
        <v>334</v>
      </c>
      <c r="K164" s="153" t="s">
        <v>335</v>
      </c>
    </row>
    <row r="165" spans="1:11" ht="15.75" customHeight="1" x14ac:dyDescent="0.25">
      <c r="A165" s="153">
        <v>164</v>
      </c>
      <c r="B165" s="153" t="s">
        <v>501</v>
      </c>
      <c r="C165" s="153" t="s">
        <v>331</v>
      </c>
      <c r="D165" s="153" t="s">
        <v>332</v>
      </c>
      <c r="E165" s="153" t="s">
        <v>383</v>
      </c>
      <c r="F165" s="153" t="s">
        <v>346</v>
      </c>
      <c r="G165" s="153" t="s">
        <v>328</v>
      </c>
      <c r="H165" s="153" t="s">
        <v>330</v>
      </c>
      <c r="I165" s="153" t="s">
        <v>337</v>
      </c>
      <c r="J165" s="153" t="s">
        <v>327</v>
      </c>
      <c r="K165" s="153" t="s">
        <v>335</v>
      </c>
    </row>
    <row r="166" spans="1:11" ht="15.75" customHeight="1" x14ac:dyDescent="0.25">
      <c r="A166" s="153">
        <v>165</v>
      </c>
      <c r="B166" s="153" t="s">
        <v>502</v>
      </c>
      <c r="C166" s="153" t="s">
        <v>346</v>
      </c>
      <c r="D166" s="153" t="s">
        <v>332</v>
      </c>
      <c r="E166" s="153" t="s">
        <v>383</v>
      </c>
      <c r="F166" s="153" t="s">
        <v>337</v>
      </c>
      <c r="G166" s="153" t="s">
        <v>331</v>
      </c>
      <c r="H166" s="153" t="s">
        <v>330</v>
      </c>
      <c r="I166" s="153" t="s">
        <v>327</v>
      </c>
      <c r="J166" s="153" t="s">
        <v>329</v>
      </c>
      <c r="K166" s="153" t="s">
        <v>335</v>
      </c>
    </row>
    <row r="167" spans="1:11" ht="15.75" customHeight="1" x14ac:dyDescent="0.25">
      <c r="A167" s="153">
        <v>166</v>
      </c>
      <c r="B167" s="153" t="s">
        <v>503</v>
      </c>
      <c r="C167" s="153" t="s">
        <v>331</v>
      </c>
      <c r="D167" s="153" t="s">
        <v>328</v>
      </c>
      <c r="E167" s="153" t="s">
        <v>329</v>
      </c>
      <c r="F167" s="153" t="s">
        <v>330</v>
      </c>
      <c r="G167" s="153" t="s">
        <v>504</v>
      </c>
      <c r="H167" s="153" t="s">
        <v>332</v>
      </c>
      <c r="I167" s="153" t="s">
        <v>333</v>
      </c>
      <c r="J167" s="153" t="s">
        <v>334</v>
      </c>
      <c r="K167" s="153" t="s">
        <v>335</v>
      </c>
    </row>
    <row r="168" spans="1:11" ht="15.75" customHeight="1" x14ac:dyDescent="0.25">
      <c r="A168" s="153">
        <v>167</v>
      </c>
      <c r="B168" s="153" t="s">
        <v>505</v>
      </c>
      <c r="C168" s="153" t="s">
        <v>327</v>
      </c>
      <c r="D168" s="153" t="s">
        <v>328</v>
      </c>
      <c r="E168" s="153" t="s">
        <v>329</v>
      </c>
      <c r="F168" s="153" t="s">
        <v>504</v>
      </c>
      <c r="G168" s="153" t="s">
        <v>331</v>
      </c>
      <c r="H168" s="153" t="s">
        <v>332</v>
      </c>
      <c r="I168" s="153" t="s">
        <v>333</v>
      </c>
      <c r="J168" s="153" t="s">
        <v>334</v>
      </c>
      <c r="K168" s="153" t="s">
        <v>335</v>
      </c>
    </row>
    <row r="169" spans="1:11" ht="15.75" customHeight="1" x14ac:dyDescent="0.25">
      <c r="A169" s="153">
        <v>168</v>
      </c>
      <c r="B169" s="153" t="s">
        <v>506</v>
      </c>
      <c r="C169" s="153" t="s">
        <v>327</v>
      </c>
      <c r="D169" s="153" t="s">
        <v>328</v>
      </c>
      <c r="E169" s="153" t="s">
        <v>329</v>
      </c>
      <c r="F169" s="153" t="s">
        <v>330</v>
      </c>
      <c r="G169" s="153" t="s">
        <v>504</v>
      </c>
      <c r="H169" s="153" t="s">
        <v>331</v>
      </c>
      <c r="I169" s="153" t="s">
        <v>333</v>
      </c>
      <c r="J169" s="153" t="s">
        <v>334</v>
      </c>
      <c r="K169" s="153" t="s">
        <v>335</v>
      </c>
    </row>
    <row r="170" spans="1:11" ht="15.75" customHeight="1" x14ac:dyDescent="0.25">
      <c r="A170" s="153">
        <v>169</v>
      </c>
      <c r="B170" s="153" t="s">
        <v>507</v>
      </c>
      <c r="C170" s="153" t="s">
        <v>327</v>
      </c>
      <c r="D170" s="153" t="s">
        <v>328</v>
      </c>
      <c r="E170" s="153" t="s">
        <v>329</v>
      </c>
      <c r="F170" s="153" t="s">
        <v>330</v>
      </c>
      <c r="G170" s="153" t="s">
        <v>504</v>
      </c>
      <c r="H170" s="153" t="s">
        <v>332</v>
      </c>
      <c r="I170" s="153" t="s">
        <v>333</v>
      </c>
      <c r="J170" s="153" t="s">
        <v>334</v>
      </c>
      <c r="K170" s="153" t="s">
        <v>335</v>
      </c>
    </row>
    <row r="171" spans="1:11" ht="15.75" customHeight="1" x14ac:dyDescent="0.25">
      <c r="A171" s="153">
        <v>170</v>
      </c>
      <c r="B171" s="153" t="s">
        <v>508</v>
      </c>
      <c r="C171" s="153" t="s">
        <v>327</v>
      </c>
      <c r="D171" s="153" t="s">
        <v>332</v>
      </c>
      <c r="E171" s="153" t="s">
        <v>328</v>
      </c>
      <c r="F171" s="153" t="s">
        <v>330</v>
      </c>
      <c r="G171" s="153" t="s">
        <v>504</v>
      </c>
      <c r="H171" s="153" t="s">
        <v>331</v>
      </c>
      <c r="I171" s="153" t="s">
        <v>333</v>
      </c>
      <c r="J171" s="153" t="s">
        <v>334</v>
      </c>
      <c r="K171" s="153" t="s">
        <v>335</v>
      </c>
    </row>
    <row r="172" spans="1:11" ht="15.75" customHeight="1" x14ac:dyDescent="0.25">
      <c r="A172" s="153">
        <v>171</v>
      </c>
      <c r="B172" s="153" t="s">
        <v>509</v>
      </c>
      <c r="C172" s="153" t="s">
        <v>327</v>
      </c>
      <c r="D172" s="153" t="s">
        <v>332</v>
      </c>
      <c r="E172" s="153" t="s">
        <v>329</v>
      </c>
      <c r="F172" s="153" t="s">
        <v>330</v>
      </c>
      <c r="G172" s="153" t="s">
        <v>504</v>
      </c>
      <c r="H172" s="153" t="s">
        <v>331</v>
      </c>
      <c r="I172" s="153" t="s">
        <v>333</v>
      </c>
      <c r="J172" s="153" t="s">
        <v>334</v>
      </c>
      <c r="K172" s="153" t="s">
        <v>335</v>
      </c>
    </row>
    <row r="173" spans="1:11" ht="15.75" customHeight="1" x14ac:dyDescent="0.25">
      <c r="A173" s="153">
        <v>172</v>
      </c>
      <c r="B173" s="153" t="s">
        <v>510</v>
      </c>
      <c r="C173" s="153" t="s">
        <v>327</v>
      </c>
      <c r="D173" s="153" t="s">
        <v>332</v>
      </c>
      <c r="E173" s="153" t="s">
        <v>328</v>
      </c>
      <c r="F173" s="153" t="s">
        <v>330</v>
      </c>
      <c r="G173" s="153" t="s">
        <v>504</v>
      </c>
      <c r="H173" s="153" t="s">
        <v>331</v>
      </c>
      <c r="I173" s="153" t="s">
        <v>333</v>
      </c>
      <c r="J173" s="153" t="s">
        <v>329</v>
      </c>
      <c r="K173" s="153" t="s">
        <v>335</v>
      </c>
    </row>
    <row r="174" spans="1:11" ht="15.75" customHeight="1" x14ac:dyDescent="0.25">
      <c r="A174" s="153">
        <v>173</v>
      </c>
      <c r="B174" s="153" t="s">
        <v>511</v>
      </c>
      <c r="C174" s="153" t="s">
        <v>327</v>
      </c>
      <c r="D174" s="153" t="s">
        <v>332</v>
      </c>
      <c r="E174" s="153" t="s">
        <v>328</v>
      </c>
      <c r="F174" s="153" t="s">
        <v>330</v>
      </c>
      <c r="G174" s="153" t="s">
        <v>504</v>
      </c>
      <c r="H174" s="153" t="s">
        <v>331</v>
      </c>
      <c r="I174" s="153" t="s">
        <v>329</v>
      </c>
      <c r="J174" s="153" t="s">
        <v>334</v>
      </c>
      <c r="K174" s="153" t="s">
        <v>335</v>
      </c>
    </row>
    <row r="175" spans="1:11" ht="15.75" customHeight="1" x14ac:dyDescent="0.25">
      <c r="A175" s="153">
        <v>174</v>
      </c>
      <c r="B175" s="153" t="s">
        <v>512</v>
      </c>
      <c r="C175" s="153" t="s">
        <v>331</v>
      </c>
      <c r="D175" s="153" t="s">
        <v>328</v>
      </c>
      <c r="E175" s="153" t="s">
        <v>329</v>
      </c>
      <c r="F175" s="153" t="s">
        <v>337</v>
      </c>
      <c r="G175" s="153" t="s">
        <v>504</v>
      </c>
      <c r="H175" s="153" t="s">
        <v>332</v>
      </c>
      <c r="I175" s="153" t="s">
        <v>333</v>
      </c>
      <c r="J175" s="153" t="s">
        <v>334</v>
      </c>
      <c r="K175" s="153" t="s">
        <v>335</v>
      </c>
    </row>
    <row r="176" spans="1:11" ht="15.75" customHeight="1" x14ac:dyDescent="0.25">
      <c r="A176" s="153">
        <v>175</v>
      </c>
      <c r="B176" s="153" t="s">
        <v>513</v>
      </c>
      <c r="C176" s="153" t="s">
        <v>331</v>
      </c>
      <c r="D176" s="153" t="s">
        <v>328</v>
      </c>
      <c r="E176" s="153" t="s">
        <v>329</v>
      </c>
      <c r="F176" s="153" t="s">
        <v>337</v>
      </c>
      <c r="G176" s="153" t="s">
        <v>504</v>
      </c>
      <c r="H176" s="153" t="s">
        <v>330</v>
      </c>
      <c r="I176" s="153" t="s">
        <v>333</v>
      </c>
      <c r="J176" s="153" t="s">
        <v>334</v>
      </c>
      <c r="K176" s="153" t="s">
        <v>335</v>
      </c>
    </row>
    <row r="177" spans="1:11" ht="15.75" customHeight="1" x14ac:dyDescent="0.25">
      <c r="A177" s="153">
        <v>176</v>
      </c>
      <c r="B177" s="153" t="s">
        <v>514</v>
      </c>
      <c r="C177" s="153" t="s">
        <v>329</v>
      </c>
      <c r="D177" s="153" t="s">
        <v>332</v>
      </c>
      <c r="E177" s="153" t="s">
        <v>328</v>
      </c>
      <c r="F177" s="153" t="s">
        <v>337</v>
      </c>
      <c r="G177" s="153" t="s">
        <v>504</v>
      </c>
      <c r="H177" s="153" t="s">
        <v>330</v>
      </c>
      <c r="I177" s="153" t="s">
        <v>333</v>
      </c>
      <c r="J177" s="153" t="s">
        <v>334</v>
      </c>
      <c r="K177" s="153" t="s">
        <v>335</v>
      </c>
    </row>
    <row r="178" spans="1:11" ht="15.75" customHeight="1" x14ac:dyDescent="0.25">
      <c r="A178" s="153">
        <v>177</v>
      </c>
      <c r="B178" s="153" t="s">
        <v>515</v>
      </c>
      <c r="C178" s="153" t="s">
        <v>331</v>
      </c>
      <c r="D178" s="153" t="s">
        <v>332</v>
      </c>
      <c r="E178" s="153" t="s">
        <v>328</v>
      </c>
      <c r="F178" s="153" t="s">
        <v>337</v>
      </c>
      <c r="G178" s="153" t="s">
        <v>504</v>
      </c>
      <c r="H178" s="153" t="s">
        <v>330</v>
      </c>
      <c r="I178" s="153" t="s">
        <v>333</v>
      </c>
      <c r="J178" s="153" t="s">
        <v>334</v>
      </c>
      <c r="K178" s="153" t="s">
        <v>335</v>
      </c>
    </row>
    <row r="179" spans="1:11" ht="15.75" customHeight="1" x14ac:dyDescent="0.25">
      <c r="A179" s="153">
        <v>178</v>
      </c>
      <c r="B179" s="153" t="s">
        <v>516</v>
      </c>
      <c r="C179" s="153" t="s">
        <v>331</v>
      </c>
      <c r="D179" s="153" t="s">
        <v>332</v>
      </c>
      <c r="E179" s="153" t="s">
        <v>329</v>
      </c>
      <c r="F179" s="153" t="s">
        <v>337</v>
      </c>
      <c r="G179" s="153" t="s">
        <v>504</v>
      </c>
      <c r="H179" s="153" t="s">
        <v>330</v>
      </c>
      <c r="I179" s="153" t="s">
        <v>333</v>
      </c>
      <c r="J179" s="153" t="s">
        <v>334</v>
      </c>
      <c r="K179" s="153" t="s">
        <v>335</v>
      </c>
    </row>
    <row r="180" spans="1:11" ht="15.75" customHeight="1" x14ac:dyDescent="0.25">
      <c r="A180" s="153">
        <v>179</v>
      </c>
      <c r="B180" s="153" t="s">
        <v>517</v>
      </c>
      <c r="C180" s="153" t="s">
        <v>331</v>
      </c>
      <c r="D180" s="153" t="s">
        <v>332</v>
      </c>
      <c r="E180" s="153" t="s">
        <v>328</v>
      </c>
      <c r="F180" s="153" t="s">
        <v>337</v>
      </c>
      <c r="G180" s="153" t="s">
        <v>504</v>
      </c>
      <c r="H180" s="153" t="s">
        <v>330</v>
      </c>
      <c r="I180" s="153" t="s">
        <v>333</v>
      </c>
      <c r="J180" s="153" t="s">
        <v>329</v>
      </c>
      <c r="K180" s="153" t="s">
        <v>335</v>
      </c>
    </row>
    <row r="181" spans="1:11" ht="15.75" customHeight="1" x14ac:dyDescent="0.25">
      <c r="A181" s="153">
        <v>180</v>
      </c>
      <c r="B181" s="153" t="s">
        <v>518</v>
      </c>
      <c r="C181" s="153" t="s">
        <v>331</v>
      </c>
      <c r="D181" s="153" t="s">
        <v>332</v>
      </c>
      <c r="E181" s="153" t="s">
        <v>328</v>
      </c>
      <c r="F181" s="153" t="s">
        <v>337</v>
      </c>
      <c r="G181" s="153" t="s">
        <v>504</v>
      </c>
      <c r="H181" s="153" t="s">
        <v>330</v>
      </c>
      <c r="I181" s="153" t="s">
        <v>329</v>
      </c>
      <c r="J181" s="153" t="s">
        <v>334</v>
      </c>
      <c r="K181" s="153" t="s">
        <v>335</v>
      </c>
    </row>
    <row r="182" spans="1:11" ht="15.75" customHeight="1" x14ac:dyDescent="0.25">
      <c r="A182" s="153">
        <v>181</v>
      </c>
      <c r="B182" s="153" t="s">
        <v>519</v>
      </c>
      <c r="C182" s="153" t="s">
        <v>327</v>
      </c>
      <c r="D182" s="153" t="s">
        <v>328</v>
      </c>
      <c r="E182" s="153" t="s">
        <v>329</v>
      </c>
      <c r="F182" s="153" t="s">
        <v>337</v>
      </c>
      <c r="G182" s="153" t="s">
        <v>504</v>
      </c>
      <c r="H182" s="153" t="s">
        <v>331</v>
      </c>
      <c r="I182" s="153" t="s">
        <v>333</v>
      </c>
      <c r="J182" s="153" t="s">
        <v>334</v>
      </c>
      <c r="K182" s="153" t="s">
        <v>335</v>
      </c>
    </row>
    <row r="183" spans="1:11" ht="15.75" customHeight="1" x14ac:dyDescent="0.25">
      <c r="A183" s="153">
        <v>182</v>
      </c>
      <c r="B183" s="153" t="s">
        <v>520</v>
      </c>
      <c r="C183" s="153" t="s">
        <v>327</v>
      </c>
      <c r="D183" s="153" t="s">
        <v>328</v>
      </c>
      <c r="E183" s="153" t="s">
        <v>329</v>
      </c>
      <c r="F183" s="153" t="s">
        <v>337</v>
      </c>
      <c r="G183" s="153" t="s">
        <v>504</v>
      </c>
      <c r="H183" s="153" t="s">
        <v>332</v>
      </c>
      <c r="I183" s="153" t="s">
        <v>333</v>
      </c>
      <c r="J183" s="153" t="s">
        <v>334</v>
      </c>
      <c r="K183" s="153" t="s">
        <v>335</v>
      </c>
    </row>
    <row r="184" spans="1:11" ht="15.75" customHeight="1" x14ac:dyDescent="0.25">
      <c r="A184" s="153">
        <v>183</v>
      </c>
      <c r="B184" s="153" t="s">
        <v>521</v>
      </c>
      <c r="C184" s="153" t="s">
        <v>327</v>
      </c>
      <c r="D184" s="153" t="s">
        <v>332</v>
      </c>
      <c r="E184" s="153" t="s">
        <v>328</v>
      </c>
      <c r="F184" s="153" t="s">
        <v>337</v>
      </c>
      <c r="G184" s="153" t="s">
        <v>504</v>
      </c>
      <c r="H184" s="153" t="s">
        <v>331</v>
      </c>
      <c r="I184" s="153" t="s">
        <v>333</v>
      </c>
      <c r="J184" s="153" t="s">
        <v>334</v>
      </c>
      <c r="K184" s="153" t="s">
        <v>335</v>
      </c>
    </row>
    <row r="185" spans="1:11" ht="15.75" customHeight="1" x14ac:dyDescent="0.25">
      <c r="A185" s="153">
        <v>184</v>
      </c>
      <c r="B185" s="153" t="s">
        <v>522</v>
      </c>
      <c r="C185" s="153" t="s">
        <v>327</v>
      </c>
      <c r="D185" s="153" t="s">
        <v>332</v>
      </c>
      <c r="E185" s="153" t="s">
        <v>329</v>
      </c>
      <c r="F185" s="153" t="s">
        <v>337</v>
      </c>
      <c r="G185" s="153" t="s">
        <v>504</v>
      </c>
      <c r="H185" s="153" t="s">
        <v>331</v>
      </c>
      <c r="I185" s="153" t="s">
        <v>333</v>
      </c>
      <c r="J185" s="153" t="s">
        <v>334</v>
      </c>
      <c r="K185" s="153" t="s">
        <v>335</v>
      </c>
    </row>
    <row r="186" spans="1:11" ht="15.75" customHeight="1" x14ac:dyDescent="0.25">
      <c r="A186" s="153">
        <v>185</v>
      </c>
      <c r="B186" s="153" t="s">
        <v>523</v>
      </c>
      <c r="C186" s="153" t="s">
        <v>327</v>
      </c>
      <c r="D186" s="153" t="s">
        <v>332</v>
      </c>
      <c r="E186" s="153" t="s">
        <v>328</v>
      </c>
      <c r="F186" s="153" t="s">
        <v>337</v>
      </c>
      <c r="G186" s="153" t="s">
        <v>504</v>
      </c>
      <c r="H186" s="153" t="s">
        <v>331</v>
      </c>
      <c r="I186" s="153" t="s">
        <v>333</v>
      </c>
      <c r="J186" s="153" t="s">
        <v>329</v>
      </c>
      <c r="K186" s="153" t="s">
        <v>335</v>
      </c>
    </row>
    <row r="187" spans="1:11" ht="15.75" customHeight="1" x14ac:dyDescent="0.25">
      <c r="A187" s="153">
        <v>186</v>
      </c>
      <c r="B187" s="153" t="s">
        <v>524</v>
      </c>
      <c r="C187" s="153" t="s">
        <v>327</v>
      </c>
      <c r="D187" s="153" t="s">
        <v>332</v>
      </c>
      <c r="E187" s="153" t="s">
        <v>328</v>
      </c>
      <c r="F187" s="153" t="s">
        <v>337</v>
      </c>
      <c r="G187" s="153" t="s">
        <v>504</v>
      </c>
      <c r="H187" s="153" t="s">
        <v>331</v>
      </c>
      <c r="I187" s="153" t="s">
        <v>329</v>
      </c>
      <c r="J187" s="153" t="s">
        <v>334</v>
      </c>
      <c r="K187" s="153" t="s">
        <v>335</v>
      </c>
    </row>
    <row r="188" spans="1:11" ht="15.75" customHeight="1" x14ac:dyDescent="0.25">
      <c r="A188" s="153">
        <v>187</v>
      </c>
      <c r="B188" s="153" t="s">
        <v>525</v>
      </c>
      <c r="C188" s="153" t="s">
        <v>327</v>
      </c>
      <c r="D188" s="153" t="s">
        <v>328</v>
      </c>
      <c r="E188" s="153" t="s">
        <v>329</v>
      </c>
      <c r="F188" s="153" t="s">
        <v>337</v>
      </c>
      <c r="G188" s="153" t="s">
        <v>504</v>
      </c>
      <c r="H188" s="153" t="s">
        <v>330</v>
      </c>
      <c r="I188" s="153" t="s">
        <v>333</v>
      </c>
      <c r="J188" s="153" t="s">
        <v>334</v>
      </c>
      <c r="K188" s="153" t="s">
        <v>335</v>
      </c>
    </row>
    <row r="189" spans="1:11" ht="15.75" customHeight="1" x14ac:dyDescent="0.25">
      <c r="A189" s="153">
        <v>188</v>
      </c>
      <c r="B189" s="153" t="s">
        <v>526</v>
      </c>
      <c r="C189" s="153" t="s">
        <v>331</v>
      </c>
      <c r="D189" s="153" t="s">
        <v>328</v>
      </c>
      <c r="E189" s="153" t="s">
        <v>327</v>
      </c>
      <c r="F189" s="153" t="s">
        <v>337</v>
      </c>
      <c r="G189" s="153" t="s">
        <v>504</v>
      </c>
      <c r="H189" s="153" t="s">
        <v>330</v>
      </c>
      <c r="I189" s="153" t="s">
        <v>333</v>
      </c>
      <c r="J189" s="153" t="s">
        <v>334</v>
      </c>
      <c r="K189" s="153" t="s">
        <v>335</v>
      </c>
    </row>
    <row r="190" spans="1:11" ht="15.75" customHeight="1" x14ac:dyDescent="0.25">
      <c r="A190" s="153">
        <v>189</v>
      </c>
      <c r="B190" s="153" t="s">
        <v>527</v>
      </c>
      <c r="C190" s="153" t="s">
        <v>331</v>
      </c>
      <c r="D190" s="153" t="s">
        <v>327</v>
      </c>
      <c r="E190" s="153" t="s">
        <v>329</v>
      </c>
      <c r="F190" s="153" t="s">
        <v>337</v>
      </c>
      <c r="G190" s="153" t="s">
        <v>504</v>
      </c>
      <c r="H190" s="153" t="s">
        <v>330</v>
      </c>
      <c r="I190" s="153" t="s">
        <v>333</v>
      </c>
      <c r="J190" s="153" t="s">
        <v>334</v>
      </c>
      <c r="K190" s="153" t="s">
        <v>335</v>
      </c>
    </row>
    <row r="191" spans="1:11" ht="15.75" customHeight="1" x14ac:dyDescent="0.25">
      <c r="A191" s="153">
        <v>190</v>
      </c>
      <c r="B191" s="153" t="s">
        <v>528</v>
      </c>
      <c r="C191" s="153" t="s">
        <v>331</v>
      </c>
      <c r="D191" s="153" t="s">
        <v>328</v>
      </c>
      <c r="E191" s="153" t="s">
        <v>327</v>
      </c>
      <c r="F191" s="153" t="s">
        <v>337</v>
      </c>
      <c r="G191" s="153" t="s">
        <v>504</v>
      </c>
      <c r="H191" s="153" t="s">
        <v>330</v>
      </c>
      <c r="I191" s="153" t="s">
        <v>333</v>
      </c>
      <c r="J191" s="153" t="s">
        <v>329</v>
      </c>
      <c r="K191" s="153" t="s">
        <v>335</v>
      </c>
    </row>
    <row r="192" spans="1:11" ht="15.75" customHeight="1" x14ac:dyDescent="0.25">
      <c r="A192" s="153">
        <v>191</v>
      </c>
      <c r="B192" s="153" t="s">
        <v>529</v>
      </c>
      <c r="C192" s="153" t="s">
        <v>331</v>
      </c>
      <c r="D192" s="153" t="s">
        <v>328</v>
      </c>
      <c r="E192" s="153" t="s">
        <v>327</v>
      </c>
      <c r="F192" s="153" t="s">
        <v>337</v>
      </c>
      <c r="G192" s="153" t="s">
        <v>504</v>
      </c>
      <c r="H192" s="153" t="s">
        <v>330</v>
      </c>
      <c r="I192" s="153" t="s">
        <v>329</v>
      </c>
      <c r="J192" s="153" t="s">
        <v>334</v>
      </c>
      <c r="K192" s="153" t="s">
        <v>335</v>
      </c>
    </row>
    <row r="193" spans="1:11" ht="15.75" customHeight="1" x14ac:dyDescent="0.25">
      <c r="A193" s="153">
        <v>192</v>
      </c>
      <c r="B193" s="153" t="s">
        <v>530</v>
      </c>
      <c r="C193" s="153" t="s">
        <v>327</v>
      </c>
      <c r="D193" s="153" t="s">
        <v>332</v>
      </c>
      <c r="E193" s="153" t="s">
        <v>328</v>
      </c>
      <c r="F193" s="153" t="s">
        <v>337</v>
      </c>
      <c r="G193" s="153" t="s">
        <v>504</v>
      </c>
      <c r="H193" s="153" t="s">
        <v>330</v>
      </c>
      <c r="I193" s="153" t="s">
        <v>333</v>
      </c>
      <c r="J193" s="153" t="s">
        <v>334</v>
      </c>
      <c r="K193" s="153" t="s">
        <v>335</v>
      </c>
    </row>
    <row r="194" spans="1:11" ht="15.75" customHeight="1" x14ac:dyDescent="0.25">
      <c r="A194" s="153">
        <v>193</v>
      </c>
      <c r="B194" s="153" t="s">
        <v>531</v>
      </c>
      <c r="C194" s="153" t="s">
        <v>327</v>
      </c>
      <c r="D194" s="153" t="s">
        <v>332</v>
      </c>
      <c r="E194" s="153" t="s">
        <v>329</v>
      </c>
      <c r="F194" s="153" t="s">
        <v>337</v>
      </c>
      <c r="G194" s="153" t="s">
        <v>504</v>
      </c>
      <c r="H194" s="153" t="s">
        <v>330</v>
      </c>
      <c r="I194" s="153" t="s">
        <v>333</v>
      </c>
      <c r="J194" s="153" t="s">
        <v>334</v>
      </c>
      <c r="K194" s="153" t="s">
        <v>335</v>
      </c>
    </row>
    <row r="195" spans="1:11" ht="15.75" customHeight="1" x14ac:dyDescent="0.25">
      <c r="A195" s="153">
        <v>194</v>
      </c>
      <c r="B195" s="153" t="s">
        <v>532</v>
      </c>
      <c r="C195" s="153" t="s">
        <v>327</v>
      </c>
      <c r="D195" s="153" t="s">
        <v>332</v>
      </c>
      <c r="E195" s="153" t="s">
        <v>328</v>
      </c>
      <c r="F195" s="153" t="s">
        <v>337</v>
      </c>
      <c r="G195" s="153" t="s">
        <v>504</v>
      </c>
      <c r="H195" s="153" t="s">
        <v>330</v>
      </c>
      <c r="I195" s="153" t="s">
        <v>333</v>
      </c>
      <c r="J195" s="153" t="s">
        <v>329</v>
      </c>
      <c r="K195" s="153" t="s">
        <v>335</v>
      </c>
    </row>
    <row r="196" spans="1:11" ht="15.75" customHeight="1" x14ac:dyDescent="0.25">
      <c r="A196" s="153">
        <v>195</v>
      </c>
      <c r="B196" s="153" t="s">
        <v>533</v>
      </c>
      <c r="C196" s="153" t="s">
        <v>327</v>
      </c>
      <c r="D196" s="153" t="s">
        <v>332</v>
      </c>
      <c r="E196" s="153" t="s">
        <v>328</v>
      </c>
      <c r="F196" s="153" t="s">
        <v>337</v>
      </c>
      <c r="G196" s="153" t="s">
        <v>504</v>
      </c>
      <c r="H196" s="153" t="s">
        <v>330</v>
      </c>
      <c r="I196" s="153" t="s">
        <v>329</v>
      </c>
      <c r="J196" s="153" t="s">
        <v>334</v>
      </c>
      <c r="K196" s="153" t="s">
        <v>335</v>
      </c>
    </row>
    <row r="197" spans="1:11" ht="15.75" customHeight="1" x14ac:dyDescent="0.25">
      <c r="A197" s="153">
        <v>196</v>
      </c>
      <c r="B197" s="153" t="s">
        <v>534</v>
      </c>
      <c r="C197" s="153" t="s">
        <v>331</v>
      </c>
      <c r="D197" s="153" t="s">
        <v>332</v>
      </c>
      <c r="E197" s="153" t="s">
        <v>327</v>
      </c>
      <c r="F197" s="153" t="s">
        <v>337</v>
      </c>
      <c r="G197" s="153" t="s">
        <v>504</v>
      </c>
      <c r="H197" s="153" t="s">
        <v>330</v>
      </c>
      <c r="I197" s="153" t="s">
        <v>333</v>
      </c>
      <c r="J197" s="153" t="s">
        <v>334</v>
      </c>
      <c r="K197" s="153" t="s">
        <v>335</v>
      </c>
    </row>
    <row r="198" spans="1:11" ht="15.75" customHeight="1" x14ac:dyDescent="0.25">
      <c r="A198" s="153">
        <v>197</v>
      </c>
      <c r="B198" s="153" t="s">
        <v>535</v>
      </c>
      <c r="C198" s="153" t="s">
        <v>331</v>
      </c>
      <c r="D198" s="153" t="s">
        <v>332</v>
      </c>
      <c r="E198" s="153" t="s">
        <v>328</v>
      </c>
      <c r="F198" s="153" t="s">
        <v>337</v>
      </c>
      <c r="G198" s="153" t="s">
        <v>504</v>
      </c>
      <c r="H198" s="153" t="s">
        <v>330</v>
      </c>
      <c r="I198" s="153" t="s">
        <v>333</v>
      </c>
      <c r="J198" s="153" t="s">
        <v>327</v>
      </c>
      <c r="K198" s="153" t="s">
        <v>335</v>
      </c>
    </row>
    <row r="199" spans="1:11" ht="15.75" customHeight="1" x14ac:dyDescent="0.25">
      <c r="A199" s="153">
        <v>198</v>
      </c>
      <c r="B199" s="153" t="s">
        <v>536</v>
      </c>
      <c r="C199" s="153" t="s">
        <v>331</v>
      </c>
      <c r="D199" s="153" t="s">
        <v>332</v>
      </c>
      <c r="E199" s="153" t="s">
        <v>328</v>
      </c>
      <c r="F199" s="153" t="s">
        <v>337</v>
      </c>
      <c r="G199" s="153" t="s">
        <v>504</v>
      </c>
      <c r="H199" s="153" t="s">
        <v>330</v>
      </c>
      <c r="I199" s="153" t="s">
        <v>327</v>
      </c>
      <c r="J199" s="153" t="s">
        <v>334</v>
      </c>
      <c r="K199" s="153" t="s">
        <v>335</v>
      </c>
    </row>
    <row r="200" spans="1:11" ht="15.75" customHeight="1" x14ac:dyDescent="0.25">
      <c r="A200" s="153">
        <v>199</v>
      </c>
      <c r="B200" s="153" t="s">
        <v>537</v>
      </c>
      <c r="C200" s="153" t="s">
        <v>331</v>
      </c>
      <c r="D200" s="153" t="s">
        <v>332</v>
      </c>
      <c r="E200" s="153" t="s">
        <v>327</v>
      </c>
      <c r="F200" s="153" t="s">
        <v>337</v>
      </c>
      <c r="G200" s="153" t="s">
        <v>504</v>
      </c>
      <c r="H200" s="153" t="s">
        <v>330</v>
      </c>
      <c r="I200" s="153" t="s">
        <v>333</v>
      </c>
      <c r="J200" s="153" t="s">
        <v>329</v>
      </c>
      <c r="K200" s="153" t="s">
        <v>335</v>
      </c>
    </row>
    <row r="201" spans="1:11" ht="15.75" customHeight="1" x14ac:dyDescent="0.25">
      <c r="A201" s="153">
        <v>200</v>
      </c>
      <c r="B201" s="153" t="s">
        <v>538</v>
      </c>
      <c r="C201" s="153" t="s">
        <v>331</v>
      </c>
      <c r="D201" s="153" t="s">
        <v>332</v>
      </c>
      <c r="E201" s="153" t="s">
        <v>327</v>
      </c>
      <c r="F201" s="153" t="s">
        <v>337</v>
      </c>
      <c r="G201" s="153" t="s">
        <v>504</v>
      </c>
      <c r="H201" s="153" t="s">
        <v>330</v>
      </c>
      <c r="I201" s="153" t="s">
        <v>329</v>
      </c>
      <c r="J201" s="153" t="s">
        <v>334</v>
      </c>
      <c r="K201" s="153" t="s">
        <v>335</v>
      </c>
    </row>
    <row r="202" spans="1:11" ht="15.75" customHeight="1" x14ac:dyDescent="0.25">
      <c r="A202" s="153">
        <v>201</v>
      </c>
      <c r="B202" s="153" t="s">
        <v>539</v>
      </c>
      <c r="C202" s="153" t="s">
        <v>331</v>
      </c>
      <c r="D202" s="153" t="s">
        <v>332</v>
      </c>
      <c r="E202" s="153" t="s">
        <v>328</v>
      </c>
      <c r="F202" s="153" t="s">
        <v>337</v>
      </c>
      <c r="G202" s="153" t="s">
        <v>504</v>
      </c>
      <c r="H202" s="153" t="s">
        <v>330</v>
      </c>
      <c r="I202" s="153" t="s">
        <v>327</v>
      </c>
      <c r="J202" s="153" t="s">
        <v>329</v>
      </c>
      <c r="K202" s="153" t="s">
        <v>335</v>
      </c>
    </row>
    <row r="203" spans="1:11" ht="15.75" customHeight="1" x14ac:dyDescent="0.25">
      <c r="A203" s="153">
        <v>202</v>
      </c>
      <c r="B203" s="153" t="s">
        <v>540</v>
      </c>
      <c r="C203" s="153" t="s">
        <v>331</v>
      </c>
      <c r="D203" s="153" t="s">
        <v>328</v>
      </c>
      <c r="E203" s="153" t="s">
        <v>329</v>
      </c>
      <c r="F203" s="153" t="s">
        <v>346</v>
      </c>
      <c r="G203" s="153" t="s">
        <v>504</v>
      </c>
      <c r="H203" s="153" t="s">
        <v>332</v>
      </c>
      <c r="I203" s="153" t="s">
        <v>333</v>
      </c>
      <c r="J203" s="153" t="s">
        <v>334</v>
      </c>
      <c r="K203" s="153" t="s">
        <v>335</v>
      </c>
    </row>
    <row r="204" spans="1:11" ht="15.75" customHeight="1" x14ac:dyDescent="0.25">
      <c r="A204" s="153">
        <v>203</v>
      </c>
      <c r="B204" s="153" t="s">
        <v>541</v>
      </c>
      <c r="C204" s="153" t="s">
        <v>331</v>
      </c>
      <c r="D204" s="153" t="s">
        <v>328</v>
      </c>
      <c r="E204" s="153" t="s">
        <v>329</v>
      </c>
      <c r="F204" s="153" t="s">
        <v>346</v>
      </c>
      <c r="G204" s="153" t="s">
        <v>504</v>
      </c>
      <c r="H204" s="153" t="s">
        <v>330</v>
      </c>
      <c r="I204" s="153" t="s">
        <v>333</v>
      </c>
      <c r="J204" s="153" t="s">
        <v>334</v>
      </c>
      <c r="K204" s="153" t="s">
        <v>335</v>
      </c>
    </row>
    <row r="205" spans="1:11" ht="15.75" customHeight="1" x14ac:dyDescent="0.25">
      <c r="A205" s="153">
        <v>204</v>
      </c>
      <c r="B205" s="153" t="s">
        <v>542</v>
      </c>
      <c r="C205" s="153" t="s">
        <v>329</v>
      </c>
      <c r="D205" s="153" t="s">
        <v>332</v>
      </c>
      <c r="E205" s="153" t="s">
        <v>328</v>
      </c>
      <c r="F205" s="153" t="s">
        <v>346</v>
      </c>
      <c r="G205" s="153" t="s">
        <v>504</v>
      </c>
      <c r="H205" s="153" t="s">
        <v>330</v>
      </c>
      <c r="I205" s="153" t="s">
        <v>333</v>
      </c>
      <c r="J205" s="153" t="s">
        <v>334</v>
      </c>
      <c r="K205" s="153" t="s">
        <v>335</v>
      </c>
    </row>
    <row r="206" spans="1:11" ht="15.75" customHeight="1" x14ac:dyDescent="0.25">
      <c r="A206" s="153">
        <v>205</v>
      </c>
      <c r="B206" s="153" t="s">
        <v>543</v>
      </c>
      <c r="C206" s="153" t="s">
        <v>331</v>
      </c>
      <c r="D206" s="153" t="s">
        <v>332</v>
      </c>
      <c r="E206" s="153" t="s">
        <v>328</v>
      </c>
      <c r="F206" s="153" t="s">
        <v>346</v>
      </c>
      <c r="G206" s="153" t="s">
        <v>504</v>
      </c>
      <c r="H206" s="153" t="s">
        <v>330</v>
      </c>
      <c r="I206" s="153" t="s">
        <v>333</v>
      </c>
      <c r="J206" s="153" t="s">
        <v>334</v>
      </c>
      <c r="K206" s="153" t="s">
        <v>335</v>
      </c>
    </row>
    <row r="207" spans="1:11" ht="15.75" customHeight="1" x14ac:dyDescent="0.25">
      <c r="A207" s="153">
        <v>206</v>
      </c>
      <c r="B207" s="153" t="s">
        <v>544</v>
      </c>
      <c r="C207" s="153" t="s">
        <v>331</v>
      </c>
      <c r="D207" s="153" t="s">
        <v>332</v>
      </c>
      <c r="E207" s="153" t="s">
        <v>329</v>
      </c>
      <c r="F207" s="153" t="s">
        <v>346</v>
      </c>
      <c r="G207" s="153" t="s">
        <v>504</v>
      </c>
      <c r="H207" s="153" t="s">
        <v>330</v>
      </c>
      <c r="I207" s="153" t="s">
        <v>333</v>
      </c>
      <c r="J207" s="153" t="s">
        <v>334</v>
      </c>
      <c r="K207" s="153" t="s">
        <v>335</v>
      </c>
    </row>
    <row r="208" spans="1:11" ht="15.75" customHeight="1" x14ac:dyDescent="0.25">
      <c r="A208" s="153">
        <v>207</v>
      </c>
      <c r="B208" s="153" t="s">
        <v>545</v>
      </c>
      <c r="C208" s="153" t="s">
        <v>331</v>
      </c>
      <c r="D208" s="153" t="s">
        <v>332</v>
      </c>
      <c r="E208" s="153" t="s">
        <v>328</v>
      </c>
      <c r="F208" s="153" t="s">
        <v>346</v>
      </c>
      <c r="G208" s="153" t="s">
        <v>504</v>
      </c>
      <c r="H208" s="153" t="s">
        <v>330</v>
      </c>
      <c r="I208" s="153" t="s">
        <v>333</v>
      </c>
      <c r="J208" s="153" t="s">
        <v>329</v>
      </c>
      <c r="K208" s="153" t="s">
        <v>335</v>
      </c>
    </row>
    <row r="209" spans="1:11" ht="15.75" customHeight="1" x14ac:dyDescent="0.25">
      <c r="A209" s="153">
        <v>208</v>
      </c>
      <c r="B209" s="153" t="s">
        <v>546</v>
      </c>
      <c r="C209" s="153" t="s">
        <v>331</v>
      </c>
      <c r="D209" s="153" t="s">
        <v>332</v>
      </c>
      <c r="E209" s="153" t="s">
        <v>328</v>
      </c>
      <c r="F209" s="153" t="s">
        <v>346</v>
      </c>
      <c r="G209" s="153" t="s">
        <v>504</v>
      </c>
      <c r="H209" s="153" t="s">
        <v>330</v>
      </c>
      <c r="I209" s="153" t="s">
        <v>329</v>
      </c>
      <c r="J209" s="153" t="s">
        <v>334</v>
      </c>
      <c r="K209" s="153" t="s">
        <v>335</v>
      </c>
    </row>
    <row r="210" spans="1:11" ht="15.75" customHeight="1" x14ac:dyDescent="0.25">
      <c r="A210" s="153">
        <v>209</v>
      </c>
      <c r="B210" s="153" t="s">
        <v>547</v>
      </c>
      <c r="C210" s="153" t="s">
        <v>327</v>
      </c>
      <c r="D210" s="153" t="s">
        <v>328</v>
      </c>
      <c r="E210" s="153" t="s">
        <v>329</v>
      </c>
      <c r="F210" s="153" t="s">
        <v>346</v>
      </c>
      <c r="G210" s="153" t="s">
        <v>504</v>
      </c>
      <c r="H210" s="153" t="s">
        <v>331</v>
      </c>
      <c r="I210" s="153" t="s">
        <v>333</v>
      </c>
      <c r="J210" s="153" t="s">
        <v>334</v>
      </c>
      <c r="K210" s="153" t="s">
        <v>335</v>
      </c>
    </row>
    <row r="211" spans="1:11" ht="15.75" customHeight="1" x14ac:dyDescent="0.25">
      <c r="A211" s="153">
        <v>210</v>
      </c>
      <c r="B211" s="153" t="s">
        <v>548</v>
      </c>
      <c r="C211" s="153" t="s">
        <v>327</v>
      </c>
      <c r="D211" s="153" t="s">
        <v>328</v>
      </c>
      <c r="E211" s="153" t="s">
        <v>329</v>
      </c>
      <c r="F211" s="153" t="s">
        <v>346</v>
      </c>
      <c r="G211" s="153" t="s">
        <v>504</v>
      </c>
      <c r="H211" s="153" t="s">
        <v>332</v>
      </c>
      <c r="I211" s="153" t="s">
        <v>333</v>
      </c>
      <c r="J211" s="153" t="s">
        <v>334</v>
      </c>
      <c r="K211" s="153" t="s">
        <v>335</v>
      </c>
    </row>
    <row r="212" spans="1:11" ht="15.75" customHeight="1" x14ac:dyDescent="0.25">
      <c r="A212" s="153">
        <v>211</v>
      </c>
      <c r="B212" s="153" t="s">
        <v>549</v>
      </c>
      <c r="C212" s="153" t="s">
        <v>327</v>
      </c>
      <c r="D212" s="153" t="s">
        <v>332</v>
      </c>
      <c r="E212" s="153" t="s">
        <v>328</v>
      </c>
      <c r="F212" s="153" t="s">
        <v>346</v>
      </c>
      <c r="G212" s="153" t="s">
        <v>504</v>
      </c>
      <c r="H212" s="153" t="s">
        <v>331</v>
      </c>
      <c r="I212" s="153" t="s">
        <v>333</v>
      </c>
      <c r="J212" s="153" t="s">
        <v>334</v>
      </c>
      <c r="K212" s="153" t="s">
        <v>335</v>
      </c>
    </row>
    <row r="213" spans="1:11" ht="15.75" customHeight="1" x14ac:dyDescent="0.25">
      <c r="A213" s="153">
        <v>212</v>
      </c>
      <c r="B213" s="153" t="s">
        <v>550</v>
      </c>
      <c r="C213" s="153" t="s">
        <v>327</v>
      </c>
      <c r="D213" s="153" t="s">
        <v>332</v>
      </c>
      <c r="E213" s="153" t="s">
        <v>329</v>
      </c>
      <c r="F213" s="153" t="s">
        <v>346</v>
      </c>
      <c r="G213" s="153" t="s">
        <v>504</v>
      </c>
      <c r="H213" s="153" t="s">
        <v>331</v>
      </c>
      <c r="I213" s="153" t="s">
        <v>333</v>
      </c>
      <c r="J213" s="153" t="s">
        <v>334</v>
      </c>
      <c r="K213" s="153" t="s">
        <v>335</v>
      </c>
    </row>
    <row r="214" spans="1:11" ht="15.75" customHeight="1" x14ac:dyDescent="0.25">
      <c r="A214" s="153">
        <v>213</v>
      </c>
      <c r="B214" s="153" t="s">
        <v>551</v>
      </c>
      <c r="C214" s="153" t="s">
        <v>327</v>
      </c>
      <c r="D214" s="153" t="s">
        <v>332</v>
      </c>
      <c r="E214" s="153" t="s">
        <v>328</v>
      </c>
      <c r="F214" s="153" t="s">
        <v>346</v>
      </c>
      <c r="G214" s="153" t="s">
        <v>504</v>
      </c>
      <c r="H214" s="153" t="s">
        <v>331</v>
      </c>
      <c r="I214" s="153" t="s">
        <v>333</v>
      </c>
      <c r="J214" s="153" t="s">
        <v>329</v>
      </c>
      <c r="K214" s="153" t="s">
        <v>335</v>
      </c>
    </row>
    <row r="215" spans="1:11" ht="15.75" customHeight="1" x14ac:dyDescent="0.25">
      <c r="A215" s="153">
        <v>214</v>
      </c>
      <c r="B215" s="153" t="s">
        <v>552</v>
      </c>
      <c r="C215" s="153" t="s">
        <v>327</v>
      </c>
      <c r="D215" s="153" t="s">
        <v>332</v>
      </c>
      <c r="E215" s="153" t="s">
        <v>328</v>
      </c>
      <c r="F215" s="153" t="s">
        <v>346</v>
      </c>
      <c r="G215" s="153" t="s">
        <v>504</v>
      </c>
      <c r="H215" s="153" t="s">
        <v>331</v>
      </c>
      <c r="I215" s="153" t="s">
        <v>329</v>
      </c>
      <c r="J215" s="153" t="s">
        <v>334</v>
      </c>
      <c r="K215" s="153" t="s">
        <v>335</v>
      </c>
    </row>
    <row r="216" spans="1:11" ht="15.75" customHeight="1" x14ac:dyDescent="0.25">
      <c r="A216" s="153">
        <v>215</v>
      </c>
      <c r="B216" s="153" t="s">
        <v>553</v>
      </c>
      <c r="C216" s="153" t="s">
        <v>327</v>
      </c>
      <c r="D216" s="153" t="s">
        <v>328</v>
      </c>
      <c r="E216" s="153" t="s">
        <v>329</v>
      </c>
      <c r="F216" s="153" t="s">
        <v>346</v>
      </c>
      <c r="G216" s="153" t="s">
        <v>504</v>
      </c>
      <c r="H216" s="153" t="s">
        <v>330</v>
      </c>
      <c r="I216" s="153" t="s">
        <v>333</v>
      </c>
      <c r="J216" s="153" t="s">
        <v>334</v>
      </c>
      <c r="K216" s="153" t="s">
        <v>335</v>
      </c>
    </row>
    <row r="217" spans="1:11" ht="15.75" customHeight="1" x14ac:dyDescent="0.25">
      <c r="A217" s="153">
        <v>216</v>
      </c>
      <c r="B217" s="153" t="s">
        <v>554</v>
      </c>
      <c r="C217" s="153" t="s">
        <v>331</v>
      </c>
      <c r="D217" s="153" t="s">
        <v>328</v>
      </c>
      <c r="E217" s="153" t="s">
        <v>327</v>
      </c>
      <c r="F217" s="153" t="s">
        <v>346</v>
      </c>
      <c r="G217" s="153" t="s">
        <v>504</v>
      </c>
      <c r="H217" s="153" t="s">
        <v>330</v>
      </c>
      <c r="I217" s="153" t="s">
        <v>333</v>
      </c>
      <c r="J217" s="153" t="s">
        <v>334</v>
      </c>
      <c r="K217" s="153" t="s">
        <v>335</v>
      </c>
    </row>
    <row r="218" spans="1:11" ht="15.75" customHeight="1" x14ac:dyDescent="0.25">
      <c r="A218" s="153">
        <v>217</v>
      </c>
      <c r="B218" s="153" t="s">
        <v>555</v>
      </c>
      <c r="C218" s="153" t="s">
        <v>331</v>
      </c>
      <c r="D218" s="153" t="s">
        <v>327</v>
      </c>
      <c r="E218" s="153" t="s">
        <v>329</v>
      </c>
      <c r="F218" s="153" t="s">
        <v>346</v>
      </c>
      <c r="G218" s="153" t="s">
        <v>504</v>
      </c>
      <c r="H218" s="153" t="s">
        <v>330</v>
      </c>
      <c r="I218" s="153" t="s">
        <v>333</v>
      </c>
      <c r="J218" s="153" t="s">
        <v>334</v>
      </c>
      <c r="K218" s="153" t="s">
        <v>335</v>
      </c>
    </row>
    <row r="219" spans="1:11" ht="15.75" customHeight="1" x14ac:dyDescent="0.25">
      <c r="A219" s="153">
        <v>218</v>
      </c>
      <c r="B219" s="153" t="s">
        <v>556</v>
      </c>
      <c r="C219" s="153" t="s">
        <v>331</v>
      </c>
      <c r="D219" s="153" t="s">
        <v>328</v>
      </c>
      <c r="E219" s="153" t="s">
        <v>327</v>
      </c>
      <c r="F219" s="153" t="s">
        <v>346</v>
      </c>
      <c r="G219" s="153" t="s">
        <v>504</v>
      </c>
      <c r="H219" s="153" t="s">
        <v>330</v>
      </c>
      <c r="I219" s="153" t="s">
        <v>333</v>
      </c>
      <c r="J219" s="153" t="s">
        <v>329</v>
      </c>
      <c r="K219" s="153" t="s">
        <v>335</v>
      </c>
    </row>
    <row r="220" spans="1:11" ht="15.75" customHeight="1" x14ac:dyDescent="0.25">
      <c r="A220" s="153">
        <v>219</v>
      </c>
      <c r="B220" s="153" t="s">
        <v>557</v>
      </c>
      <c r="C220" s="153" t="s">
        <v>331</v>
      </c>
      <c r="D220" s="153" t="s">
        <v>328</v>
      </c>
      <c r="E220" s="153" t="s">
        <v>327</v>
      </c>
      <c r="F220" s="153" t="s">
        <v>346</v>
      </c>
      <c r="G220" s="153" t="s">
        <v>504</v>
      </c>
      <c r="H220" s="153" t="s">
        <v>330</v>
      </c>
      <c r="I220" s="153" t="s">
        <v>329</v>
      </c>
      <c r="J220" s="153" t="s">
        <v>334</v>
      </c>
      <c r="K220" s="153" t="s">
        <v>335</v>
      </c>
    </row>
    <row r="221" spans="1:11" ht="15.75" customHeight="1" x14ac:dyDescent="0.25">
      <c r="A221" s="153">
        <v>220</v>
      </c>
      <c r="B221" s="153" t="s">
        <v>558</v>
      </c>
      <c r="C221" s="153" t="s">
        <v>327</v>
      </c>
      <c r="D221" s="153" t="s">
        <v>332</v>
      </c>
      <c r="E221" s="153" t="s">
        <v>328</v>
      </c>
      <c r="F221" s="153" t="s">
        <v>346</v>
      </c>
      <c r="G221" s="153" t="s">
        <v>504</v>
      </c>
      <c r="H221" s="153" t="s">
        <v>330</v>
      </c>
      <c r="I221" s="153" t="s">
        <v>333</v>
      </c>
      <c r="J221" s="153" t="s">
        <v>334</v>
      </c>
      <c r="K221" s="153" t="s">
        <v>335</v>
      </c>
    </row>
    <row r="222" spans="1:11" ht="15.75" customHeight="1" x14ac:dyDescent="0.25">
      <c r="A222" s="153">
        <v>221</v>
      </c>
      <c r="B222" s="153" t="s">
        <v>559</v>
      </c>
      <c r="C222" s="153" t="s">
        <v>327</v>
      </c>
      <c r="D222" s="153" t="s">
        <v>332</v>
      </c>
      <c r="E222" s="153" t="s">
        <v>329</v>
      </c>
      <c r="F222" s="153" t="s">
        <v>346</v>
      </c>
      <c r="G222" s="153" t="s">
        <v>504</v>
      </c>
      <c r="H222" s="153" t="s">
        <v>330</v>
      </c>
      <c r="I222" s="153" t="s">
        <v>333</v>
      </c>
      <c r="J222" s="153" t="s">
        <v>334</v>
      </c>
      <c r="K222" s="153" t="s">
        <v>335</v>
      </c>
    </row>
    <row r="223" spans="1:11" ht="15.75" customHeight="1" x14ac:dyDescent="0.25">
      <c r="A223" s="153">
        <v>222</v>
      </c>
      <c r="B223" s="153" t="s">
        <v>560</v>
      </c>
      <c r="C223" s="153" t="s">
        <v>327</v>
      </c>
      <c r="D223" s="153" t="s">
        <v>332</v>
      </c>
      <c r="E223" s="153" t="s">
        <v>328</v>
      </c>
      <c r="F223" s="153" t="s">
        <v>346</v>
      </c>
      <c r="G223" s="153" t="s">
        <v>504</v>
      </c>
      <c r="H223" s="153" t="s">
        <v>330</v>
      </c>
      <c r="I223" s="153" t="s">
        <v>333</v>
      </c>
      <c r="J223" s="153" t="s">
        <v>329</v>
      </c>
      <c r="K223" s="153" t="s">
        <v>335</v>
      </c>
    </row>
    <row r="224" spans="1:11" ht="15.75" customHeight="1" x14ac:dyDescent="0.25">
      <c r="A224" s="153">
        <v>223</v>
      </c>
      <c r="B224" s="153" t="s">
        <v>561</v>
      </c>
      <c r="C224" s="153" t="s">
        <v>327</v>
      </c>
      <c r="D224" s="153" t="s">
        <v>332</v>
      </c>
      <c r="E224" s="153" t="s">
        <v>328</v>
      </c>
      <c r="F224" s="153" t="s">
        <v>346</v>
      </c>
      <c r="G224" s="153" t="s">
        <v>504</v>
      </c>
      <c r="H224" s="153" t="s">
        <v>330</v>
      </c>
      <c r="I224" s="153" t="s">
        <v>329</v>
      </c>
      <c r="J224" s="153" t="s">
        <v>334</v>
      </c>
      <c r="K224" s="153" t="s">
        <v>335</v>
      </c>
    </row>
    <row r="225" spans="1:11" ht="15.75" customHeight="1" x14ac:dyDescent="0.25">
      <c r="A225" s="153">
        <v>224</v>
      </c>
      <c r="B225" s="153" t="s">
        <v>562</v>
      </c>
      <c r="C225" s="153" t="s">
        <v>331</v>
      </c>
      <c r="D225" s="153" t="s">
        <v>332</v>
      </c>
      <c r="E225" s="153" t="s">
        <v>327</v>
      </c>
      <c r="F225" s="153" t="s">
        <v>346</v>
      </c>
      <c r="G225" s="153" t="s">
        <v>504</v>
      </c>
      <c r="H225" s="153" t="s">
        <v>330</v>
      </c>
      <c r="I225" s="153" t="s">
        <v>333</v>
      </c>
      <c r="J225" s="153" t="s">
        <v>334</v>
      </c>
      <c r="K225" s="153" t="s">
        <v>335</v>
      </c>
    </row>
    <row r="226" spans="1:11" ht="15.75" customHeight="1" x14ac:dyDescent="0.25">
      <c r="A226" s="153">
        <v>225</v>
      </c>
      <c r="B226" s="153" t="s">
        <v>563</v>
      </c>
      <c r="C226" s="153" t="s">
        <v>331</v>
      </c>
      <c r="D226" s="153" t="s">
        <v>332</v>
      </c>
      <c r="E226" s="153" t="s">
        <v>328</v>
      </c>
      <c r="F226" s="153" t="s">
        <v>346</v>
      </c>
      <c r="G226" s="153" t="s">
        <v>504</v>
      </c>
      <c r="H226" s="153" t="s">
        <v>330</v>
      </c>
      <c r="I226" s="153" t="s">
        <v>333</v>
      </c>
      <c r="J226" s="153" t="s">
        <v>327</v>
      </c>
      <c r="K226" s="153" t="s">
        <v>335</v>
      </c>
    </row>
    <row r="227" spans="1:11" ht="15.75" customHeight="1" x14ac:dyDescent="0.25">
      <c r="A227" s="153">
        <v>226</v>
      </c>
      <c r="B227" s="153" t="s">
        <v>564</v>
      </c>
      <c r="C227" s="153" t="s">
        <v>331</v>
      </c>
      <c r="D227" s="153" t="s">
        <v>332</v>
      </c>
      <c r="E227" s="153" t="s">
        <v>328</v>
      </c>
      <c r="F227" s="153" t="s">
        <v>346</v>
      </c>
      <c r="G227" s="153" t="s">
        <v>504</v>
      </c>
      <c r="H227" s="153" t="s">
        <v>330</v>
      </c>
      <c r="I227" s="153" t="s">
        <v>327</v>
      </c>
      <c r="J227" s="153" t="s">
        <v>334</v>
      </c>
      <c r="K227" s="153" t="s">
        <v>335</v>
      </c>
    </row>
    <row r="228" spans="1:11" ht="15.75" customHeight="1" x14ac:dyDescent="0.25">
      <c r="A228" s="153">
        <v>227</v>
      </c>
      <c r="B228" s="153" t="s">
        <v>565</v>
      </c>
      <c r="C228" s="153" t="s">
        <v>331</v>
      </c>
      <c r="D228" s="153" t="s">
        <v>332</v>
      </c>
      <c r="E228" s="153" t="s">
        <v>327</v>
      </c>
      <c r="F228" s="153" t="s">
        <v>346</v>
      </c>
      <c r="G228" s="153" t="s">
        <v>504</v>
      </c>
      <c r="H228" s="153" t="s">
        <v>330</v>
      </c>
      <c r="I228" s="153" t="s">
        <v>333</v>
      </c>
      <c r="J228" s="153" t="s">
        <v>329</v>
      </c>
      <c r="K228" s="153" t="s">
        <v>335</v>
      </c>
    </row>
    <row r="229" spans="1:11" ht="15.75" customHeight="1" x14ac:dyDescent="0.25">
      <c r="A229" s="153">
        <v>228</v>
      </c>
      <c r="B229" s="153" t="s">
        <v>566</v>
      </c>
      <c r="C229" s="153" t="s">
        <v>331</v>
      </c>
      <c r="D229" s="153" t="s">
        <v>332</v>
      </c>
      <c r="E229" s="153" t="s">
        <v>327</v>
      </c>
      <c r="F229" s="153" t="s">
        <v>346</v>
      </c>
      <c r="G229" s="153" t="s">
        <v>504</v>
      </c>
      <c r="H229" s="153" t="s">
        <v>330</v>
      </c>
      <c r="I229" s="153" t="s">
        <v>329</v>
      </c>
      <c r="J229" s="153" t="s">
        <v>334</v>
      </c>
      <c r="K229" s="153" t="s">
        <v>335</v>
      </c>
    </row>
    <row r="230" spans="1:11" ht="15.75" customHeight="1" x14ac:dyDescent="0.25">
      <c r="A230" s="153">
        <v>229</v>
      </c>
      <c r="B230" s="153" t="s">
        <v>567</v>
      </c>
      <c r="C230" s="153" t="s">
        <v>331</v>
      </c>
      <c r="D230" s="153" t="s">
        <v>332</v>
      </c>
      <c r="E230" s="153" t="s">
        <v>328</v>
      </c>
      <c r="F230" s="153" t="s">
        <v>346</v>
      </c>
      <c r="G230" s="153" t="s">
        <v>504</v>
      </c>
      <c r="H230" s="153" t="s">
        <v>330</v>
      </c>
      <c r="I230" s="153" t="s">
        <v>327</v>
      </c>
      <c r="J230" s="153" t="s">
        <v>329</v>
      </c>
      <c r="K230" s="153" t="s">
        <v>335</v>
      </c>
    </row>
    <row r="231" spans="1:11" ht="15.75" customHeight="1" x14ac:dyDescent="0.25">
      <c r="A231" s="153">
        <v>230</v>
      </c>
      <c r="B231" s="153" t="s">
        <v>568</v>
      </c>
      <c r="C231" s="153" t="s">
        <v>331</v>
      </c>
      <c r="D231" s="153" t="s">
        <v>328</v>
      </c>
      <c r="E231" s="153" t="s">
        <v>329</v>
      </c>
      <c r="F231" s="153" t="s">
        <v>346</v>
      </c>
      <c r="G231" s="153" t="s">
        <v>504</v>
      </c>
      <c r="H231" s="153" t="s">
        <v>337</v>
      </c>
      <c r="I231" s="153" t="s">
        <v>333</v>
      </c>
      <c r="J231" s="153" t="s">
        <v>334</v>
      </c>
      <c r="K231" s="153" t="s">
        <v>335</v>
      </c>
    </row>
    <row r="232" spans="1:11" ht="15.75" customHeight="1" x14ac:dyDescent="0.25">
      <c r="A232" s="153">
        <v>231</v>
      </c>
      <c r="B232" s="153" t="s">
        <v>569</v>
      </c>
      <c r="C232" s="153" t="s">
        <v>329</v>
      </c>
      <c r="D232" s="153" t="s">
        <v>332</v>
      </c>
      <c r="E232" s="153" t="s">
        <v>328</v>
      </c>
      <c r="F232" s="153" t="s">
        <v>346</v>
      </c>
      <c r="G232" s="153" t="s">
        <v>504</v>
      </c>
      <c r="H232" s="153" t="s">
        <v>337</v>
      </c>
      <c r="I232" s="153" t="s">
        <v>333</v>
      </c>
      <c r="J232" s="153" t="s">
        <v>334</v>
      </c>
      <c r="K232" s="153" t="s">
        <v>335</v>
      </c>
    </row>
    <row r="233" spans="1:11" ht="15.75" customHeight="1" x14ac:dyDescent="0.25">
      <c r="A233" s="153">
        <v>232</v>
      </c>
      <c r="B233" s="153" t="s">
        <v>570</v>
      </c>
      <c r="C233" s="153" t="s">
        <v>331</v>
      </c>
      <c r="D233" s="153" t="s">
        <v>332</v>
      </c>
      <c r="E233" s="153" t="s">
        <v>328</v>
      </c>
      <c r="F233" s="153" t="s">
        <v>346</v>
      </c>
      <c r="G233" s="153" t="s">
        <v>504</v>
      </c>
      <c r="H233" s="153" t="s">
        <v>337</v>
      </c>
      <c r="I233" s="153" t="s">
        <v>333</v>
      </c>
      <c r="J233" s="153" t="s">
        <v>334</v>
      </c>
      <c r="K233" s="153" t="s">
        <v>335</v>
      </c>
    </row>
    <row r="234" spans="1:11" ht="15.75" customHeight="1" x14ac:dyDescent="0.25">
      <c r="A234" s="153">
        <v>233</v>
      </c>
      <c r="B234" s="153" t="s">
        <v>571</v>
      </c>
      <c r="C234" s="153" t="s">
        <v>331</v>
      </c>
      <c r="D234" s="153" t="s">
        <v>332</v>
      </c>
      <c r="E234" s="153" t="s">
        <v>329</v>
      </c>
      <c r="F234" s="153" t="s">
        <v>346</v>
      </c>
      <c r="G234" s="153" t="s">
        <v>504</v>
      </c>
      <c r="H234" s="153" t="s">
        <v>337</v>
      </c>
      <c r="I234" s="153" t="s">
        <v>333</v>
      </c>
      <c r="J234" s="153" t="s">
        <v>334</v>
      </c>
      <c r="K234" s="153" t="s">
        <v>335</v>
      </c>
    </row>
    <row r="235" spans="1:11" ht="15.75" customHeight="1" x14ac:dyDescent="0.25">
      <c r="A235" s="153">
        <v>234</v>
      </c>
      <c r="B235" s="153" t="s">
        <v>572</v>
      </c>
      <c r="C235" s="153" t="s">
        <v>331</v>
      </c>
      <c r="D235" s="153" t="s">
        <v>332</v>
      </c>
      <c r="E235" s="153" t="s">
        <v>328</v>
      </c>
      <c r="F235" s="153" t="s">
        <v>346</v>
      </c>
      <c r="G235" s="153" t="s">
        <v>504</v>
      </c>
      <c r="H235" s="153" t="s">
        <v>337</v>
      </c>
      <c r="I235" s="153" t="s">
        <v>333</v>
      </c>
      <c r="J235" s="153" t="s">
        <v>329</v>
      </c>
      <c r="K235" s="153" t="s">
        <v>335</v>
      </c>
    </row>
    <row r="236" spans="1:11" ht="15.75" customHeight="1" x14ac:dyDescent="0.25">
      <c r="A236" s="153">
        <v>235</v>
      </c>
      <c r="B236" s="153" t="s">
        <v>573</v>
      </c>
      <c r="C236" s="153" t="s">
        <v>331</v>
      </c>
      <c r="D236" s="153" t="s">
        <v>332</v>
      </c>
      <c r="E236" s="153" t="s">
        <v>328</v>
      </c>
      <c r="F236" s="153" t="s">
        <v>346</v>
      </c>
      <c r="G236" s="153" t="s">
        <v>504</v>
      </c>
      <c r="H236" s="153" t="s">
        <v>337</v>
      </c>
      <c r="I236" s="153" t="s">
        <v>329</v>
      </c>
      <c r="J236" s="153" t="s">
        <v>334</v>
      </c>
      <c r="K236" s="153" t="s">
        <v>335</v>
      </c>
    </row>
    <row r="237" spans="1:11" ht="15.75" customHeight="1" x14ac:dyDescent="0.25">
      <c r="A237" s="153">
        <v>236</v>
      </c>
      <c r="B237" s="153" t="s">
        <v>574</v>
      </c>
      <c r="C237" s="153" t="s">
        <v>346</v>
      </c>
      <c r="D237" s="153" t="s">
        <v>328</v>
      </c>
      <c r="E237" s="153" t="s">
        <v>329</v>
      </c>
      <c r="F237" s="153" t="s">
        <v>337</v>
      </c>
      <c r="G237" s="153" t="s">
        <v>504</v>
      </c>
      <c r="H237" s="153" t="s">
        <v>330</v>
      </c>
      <c r="I237" s="153" t="s">
        <v>333</v>
      </c>
      <c r="J237" s="153" t="s">
        <v>334</v>
      </c>
      <c r="K237" s="153" t="s">
        <v>335</v>
      </c>
    </row>
    <row r="238" spans="1:11" ht="15.75" customHeight="1" x14ac:dyDescent="0.25">
      <c r="A238" s="153">
        <v>237</v>
      </c>
      <c r="B238" s="153" t="s">
        <v>575</v>
      </c>
      <c r="C238" s="153" t="s">
        <v>331</v>
      </c>
      <c r="D238" s="153" t="s">
        <v>328</v>
      </c>
      <c r="E238" s="153" t="s">
        <v>330</v>
      </c>
      <c r="F238" s="153" t="s">
        <v>346</v>
      </c>
      <c r="G238" s="153" t="s">
        <v>504</v>
      </c>
      <c r="H238" s="153" t="s">
        <v>337</v>
      </c>
      <c r="I238" s="153" t="s">
        <v>333</v>
      </c>
      <c r="J238" s="153" t="s">
        <v>334</v>
      </c>
      <c r="K238" s="153" t="s">
        <v>335</v>
      </c>
    </row>
    <row r="239" spans="1:11" ht="15.75" customHeight="1" x14ac:dyDescent="0.25">
      <c r="A239" s="153">
        <v>238</v>
      </c>
      <c r="B239" s="153" t="s">
        <v>576</v>
      </c>
      <c r="C239" s="153" t="s">
        <v>331</v>
      </c>
      <c r="D239" s="153" t="s">
        <v>330</v>
      </c>
      <c r="E239" s="153" t="s">
        <v>329</v>
      </c>
      <c r="F239" s="153" t="s">
        <v>346</v>
      </c>
      <c r="G239" s="153" t="s">
        <v>504</v>
      </c>
      <c r="H239" s="153" t="s">
        <v>337</v>
      </c>
      <c r="I239" s="153" t="s">
        <v>333</v>
      </c>
      <c r="J239" s="153" t="s">
        <v>334</v>
      </c>
      <c r="K239" s="153" t="s">
        <v>335</v>
      </c>
    </row>
    <row r="240" spans="1:11" ht="15.75" customHeight="1" x14ac:dyDescent="0.25">
      <c r="A240" s="153">
        <v>239</v>
      </c>
      <c r="B240" s="153" t="s">
        <v>577</v>
      </c>
      <c r="C240" s="153" t="s">
        <v>331</v>
      </c>
      <c r="D240" s="153" t="s">
        <v>328</v>
      </c>
      <c r="E240" s="153" t="s">
        <v>330</v>
      </c>
      <c r="F240" s="153" t="s">
        <v>346</v>
      </c>
      <c r="G240" s="153" t="s">
        <v>504</v>
      </c>
      <c r="H240" s="153" t="s">
        <v>337</v>
      </c>
      <c r="I240" s="153" t="s">
        <v>333</v>
      </c>
      <c r="J240" s="153" t="s">
        <v>329</v>
      </c>
      <c r="K240" s="153" t="s">
        <v>335</v>
      </c>
    </row>
    <row r="241" spans="1:11" ht="15.75" customHeight="1" x14ac:dyDescent="0.25">
      <c r="A241" s="153">
        <v>240</v>
      </c>
      <c r="B241" s="153" t="s">
        <v>578</v>
      </c>
      <c r="C241" s="153" t="s">
        <v>331</v>
      </c>
      <c r="D241" s="153" t="s">
        <v>328</v>
      </c>
      <c r="E241" s="153" t="s">
        <v>330</v>
      </c>
      <c r="F241" s="153" t="s">
        <v>346</v>
      </c>
      <c r="G241" s="153" t="s">
        <v>504</v>
      </c>
      <c r="H241" s="153" t="s">
        <v>337</v>
      </c>
      <c r="I241" s="153" t="s">
        <v>329</v>
      </c>
      <c r="J241" s="153" t="s">
        <v>334</v>
      </c>
      <c r="K241" s="153" t="s">
        <v>335</v>
      </c>
    </row>
    <row r="242" spans="1:11" ht="15.75" customHeight="1" x14ac:dyDescent="0.25">
      <c r="A242" s="153">
        <v>241</v>
      </c>
      <c r="B242" s="153" t="s">
        <v>579</v>
      </c>
      <c r="C242" s="153" t="s">
        <v>346</v>
      </c>
      <c r="D242" s="153" t="s">
        <v>332</v>
      </c>
      <c r="E242" s="153" t="s">
        <v>328</v>
      </c>
      <c r="F242" s="153" t="s">
        <v>337</v>
      </c>
      <c r="G242" s="153" t="s">
        <v>504</v>
      </c>
      <c r="H242" s="153" t="s">
        <v>330</v>
      </c>
      <c r="I242" s="153" t="s">
        <v>333</v>
      </c>
      <c r="J242" s="153" t="s">
        <v>334</v>
      </c>
      <c r="K242" s="153" t="s">
        <v>335</v>
      </c>
    </row>
    <row r="243" spans="1:11" ht="15.75" customHeight="1" x14ac:dyDescent="0.25">
      <c r="A243" s="153">
        <v>242</v>
      </c>
      <c r="B243" s="153" t="s">
        <v>580</v>
      </c>
      <c r="C243" s="153" t="s">
        <v>346</v>
      </c>
      <c r="D243" s="153" t="s">
        <v>332</v>
      </c>
      <c r="E243" s="153" t="s">
        <v>329</v>
      </c>
      <c r="F243" s="153" t="s">
        <v>337</v>
      </c>
      <c r="G243" s="153" t="s">
        <v>504</v>
      </c>
      <c r="H243" s="153" t="s">
        <v>330</v>
      </c>
      <c r="I243" s="153" t="s">
        <v>333</v>
      </c>
      <c r="J243" s="153" t="s">
        <v>334</v>
      </c>
      <c r="K243" s="153" t="s">
        <v>335</v>
      </c>
    </row>
    <row r="244" spans="1:11" ht="15.75" customHeight="1" x14ac:dyDescent="0.25">
      <c r="A244" s="153">
        <v>243</v>
      </c>
      <c r="B244" s="153" t="s">
        <v>581</v>
      </c>
      <c r="C244" s="153" t="s">
        <v>346</v>
      </c>
      <c r="D244" s="153" t="s">
        <v>332</v>
      </c>
      <c r="E244" s="153" t="s">
        <v>328</v>
      </c>
      <c r="F244" s="153" t="s">
        <v>337</v>
      </c>
      <c r="G244" s="153" t="s">
        <v>504</v>
      </c>
      <c r="H244" s="153" t="s">
        <v>330</v>
      </c>
      <c r="I244" s="153" t="s">
        <v>333</v>
      </c>
      <c r="J244" s="153" t="s">
        <v>329</v>
      </c>
      <c r="K244" s="153" t="s">
        <v>335</v>
      </c>
    </row>
    <row r="245" spans="1:11" ht="15.75" customHeight="1" x14ac:dyDescent="0.25">
      <c r="A245" s="153">
        <v>244</v>
      </c>
      <c r="B245" s="153" t="s">
        <v>582</v>
      </c>
      <c r="C245" s="153" t="s">
        <v>346</v>
      </c>
      <c r="D245" s="153" t="s">
        <v>332</v>
      </c>
      <c r="E245" s="153" t="s">
        <v>328</v>
      </c>
      <c r="F245" s="153" t="s">
        <v>337</v>
      </c>
      <c r="G245" s="153" t="s">
        <v>504</v>
      </c>
      <c r="H245" s="153" t="s">
        <v>330</v>
      </c>
      <c r="I245" s="153" t="s">
        <v>329</v>
      </c>
      <c r="J245" s="153" t="s">
        <v>334</v>
      </c>
      <c r="K245" s="153" t="s">
        <v>335</v>
      </c>
    </row>
    <row r="246" spans="1:11" ht="15.75" customHeight="1" x14ac:dyDescent="0.25">
      <c r="A246" s="153">
        <v>245</v>
      </c>
      <c r="B246" s="153" t="s">
        <v>583</v>
      </c>
      <c r="C246" s="153" t="s">
        <v>331</v>
      </c>
      <c r="D246" s="153" t="s">
        <v>332</v>
      </c>
      <c r="E246" s="153" t="s">
        <v>330</v>
      </c>
      <c r="F246" s="153" t="s">
        <v>346</v>
      </c>
      <c r="G246" s="153" t="s">
        <v>504</v>
      </c>
      <c r="H246" s="153" t="s">
        <v>337</v>
      </c>
      <c r="I246" s="153" t="s">
        <v>333</v>
      </c>
      <c r="J246" s="153" t="s">
        <v>334</v>
      </c>
      <c r="K246" s="153" t="s">
        <v>335</v>
      </c>
    </row>
    <row r="247" spans="1:11" ht="15.75" customHeight="1" x14ac:dyDescent="0.25">
      <c r="A247" s="153">
        <v>246</v>
      </c>
      <c r="B247" s="153" t="s">
        <v>584</v>
      </c>
      <c r="C247" s="153" t="s">
        <v>346</v>
      </c>
      <c r="D247" s="153" t="s">
        <v>332</v>
      </c>
      <c r="E247" s="153" t="s">
        <v>328</v>
      </c>
      <c r="F247" s="153" t="s">
        <v>337</v>
      </c>
      <c r="G247" s="153" t="s">
        <v>504</v>
      </c>
      <c r="H247" s="153" t="s">
        <v>330</v>
      </c>
      <c r="I247" s="153" t="s">
        <v>333</v>
      </c>
      <c r="J247" s="153" t="s">
        <v>331</v>
      </c>
      <c r="K247" s="153" t="s">
        <v>335</v>
      </c>
    </row>
    <row r="248" spans="1:11" ht="15.75" customHeight="1" x14ac:dyDescent="0.25">
      <c r="A248" s="153">
        <v>247</v>
      </c>
      <c r="B248" s="153" t="s">
        <v>585</v>
      </c>
      <c r="C248" s="153" t="s">
        <v>331</v>
      </c>
      <c r="D248" s="153" t="s">
        <v>332</v>
      </c>
      <c r="E248" s="153" t="s">
        <v>328</v>
      </c>
      <c r="F248" s="153" t="s">
        <v>346</v>
      </c>
      <c r="G248" s="153" t="s">
        <v>504</v>
      </c>
      <c r="H248" s="153" t="s">
        <v>330</v>
      </c>
      <c r="I248" s="153" t="s">
        <v>337</v>
      </c>
      <c r="J248" s="153" t="s">
        <v>334</v>
      </c>
      <c r="K248" s="153" t="s">
        <v>335</v>
      </c>
    </row>
    <row r="249" spans="1:11" ht="15.75" customHeight="1" x14ac:dyDescent="0.25">
      <c r="A249" s="153">
        <v>248</v>
      </c>
      <c r="B249" s="153" t="s">
        <v>586</v>
      </c>
      <c r="C249" s="153" t="s">
        <v>331</v>
      </c>
      <c r="D249" s="153" t="s">
        <v>332</v>
      </c>
      <c r="E249" s="153" t="s">
        <v>330</v>
      </c>
      <c r="F249" s="153" t="s">
        <v>346</v>
      </c>
      <c r="G249" s="153" t="s">
        <v>504</v>
      </c>
      <c r="H249" s="153" t="s">
        <v>337</v>
      </c>
      <c r="I249" s="153" t="s">
        <v>333</v>
      </c>
      <c r="J249" s="153" t="s">
        <v>329</v>
      </c>
      <c r="K249" s="153" t="s">
        <v>335</v>
      </c>
    </row>
    <row r="250" spans="1:11" ht="15.75" customHeight="1" x14ac:dyDescent="0.25">
      <c r="A250" s="153">
        <v>249</v>
      </c>
      <c r="B250" s="153" t="s">
        <v>587</v>
      </c>
      <c r="C250" s="153" t="s">
        <v>331</v>
      </c>
      <c r="D250" s="153" t="s">
        <v>332</v>
      </c>
      <c r="E250" s="153" t="s">
        <v>330</v>
      </c>
      <c r="F250" s="153" t="s">
        <v>346</v>
      </c>
      <c r="G250" s="153" t="s">
        <v>504</v>
      </c>
      <c r="H250" s="153" t="s">
        <v>337</v>
      </c>
      <c r="I250" s="153" t="s">
        <v>329</v>
      </c>
      <c r="J250" s="153" t="s">
        <v>334</v>
      </c>
      <c r="K250" s="153" t="s">
        <v>335</v>
      </c>
    </row>
    <row r="251" spans="1:11" ht="15.75" customHeight="1" x14ac:dyDescent="0.25">
      <c r="A251" s="153">
        <v>250</v>
      </c>
      <c r="B251" s="153" t="s">
        <v>588</v>
      </c>
      <c r="C251" s="153" t="s">
        <v>331</v>
      </c>
      <c r="D251" s="153" t="s">
        <v>332</v>
      </c>
      <c r="E251" s="153" t="s">
        <v>328</v>
      </c>
      <c r="F251" s="153" t="s">
        <v>346</v>
      </c>
      <c r="G251" s="153" t="s">
        <v>504</v>
      </c>
      <c r="H251" s="153" t="s">
        <v>330</v>
      </c>
      <c r="I251" s="153" t="s">
        <v>337</v>
      </c>
      <c r="J251" s="153" t="s">
        <v>329</v>
      </c>
      <c r="K251" s="153" t="s">
        <v>335</v>
      </c>
    </row>
    <row r="252" spans="1:11" ht="15.75" customHeight="1" x14ac:dyDescent="0.25">
      <c r="A252" s="153">
        <v>251</v>
      </c>
      <c r="B252" s="153" t="s">
        <v>589</v>
      </c>
      <c r="C252" s="153" t="s">
        <v>327</v>
      </c>
      <c r="D252" s="153" t="s">
        <v>328</v>
      </c>
      <c r="E252" s="153" t="s">
        <v>329</v>
      </c>
      <c r="F252" s="153" t="s">
        <v>346</v>
      </c>
      <c r="G252" s="153" t="s">
        <v>504</v>
      </c>
      <c r="H252" s="153" t="s">
        <v>337</v>
      </c>
      <c r="I252" s="153" t="s">
        <v>333</v>
      </c>
      <c r="J252" s="153" t="s">
        <v>334</v>
      </c>
      <c r="K252" s="153" t="s">
        <v>335</v>
      </c>
    </row>
    <row r="253" spans="1:11" ht="15.75" customHeight="1" x14ac:dyDescent="0.25">
      <c r="A253" s="153">
        <v>252</v>
      </c>
      <c r="B253" s="153" t="s">
        <v>590</v>
      </c>
      <c r="C253" s="153" t="s">
        <v>331</v>
      </c>
      <c r="D253" s="153" t="s">
        <v>328</v>
      </c>
      <c r="E253" s="153" t="s">
        <v>327</v>
      </c>
      <c r="F253" s="153" t="s">
        <v>346</v>
      </c>
      <c r="G253" s="153" t="s">
        <v>504</v>
      </c>
      <c r="H253" s="153" t="s">
        <v>337</v>
      </c>
      <c r="I253" s="153" t="s">
        <v>333</v>
      </c>
      <c r="J253" s="153" t="s">
        <v>334</v>
      </c>
      <c r="K253" s="153" t="s">
        <v>335</v>
      </c>
    </row>
    <row r="254" spans="1:11" ht="15.75" customHeight="1" x14ac:dyDescent="0.25">
      <c r="A254" s="153">
        <v>253</v>
      </c>
      <c r="B254" s="153" t="s">
        <v>591</v>
      </c>
      <c r="C254" s="153" t="s">
        <v>331</v>
      </c>
      <c r="D254" s="153" t="s">
        <v>327</v>
      </c>
      <c r="E254" s="153" t="s">
        <v>329</v>
      </c>
      <c r="F254" s="153" t="s">
        <v>346</v>
      </c>
      <c r="G254" s="153" t="s">
        <v>504</v>
      </c>
      <c r="H254" s="153" t="s">
        <v>337</v>
      </c>
      <c r="I254" s="153" t="s">
        <v>333</v>
      </c>
      <c r="J254" s="153" t="s">
        <v>334</v>
      </c>
      <c r="K254" s="153" t="s">
        <v>335</v>
      </c>
    </row>
    <row r="255" spans="1:11" ht="15.75" customHeight="1" x14ac:dyDescent="0.25">
      <c r="A255" s="153">
        <v>254</v>
      </c>
      <c r="B255" s="153" t="s">
        <v>592</v>
      </c>
      <c r="C255" s="153" t="s">
        <v>331</v>
      </c>
      <c r="D255" s="153" t="s">
        <v>328</v>
      </c>
      <c r="E255" s="153" t="s">
        <v>327</v>
      </c>
      <c r="F255" s="153" t="s">
        <v>346</v>
      </c>
      <c r="G255" s="153" t="s">
        <v>504</v>
      </c>
      <c r="H255" s="153" t="s">
        <v>337</v>
      </c>
      <c r="I255" s="153" t="s">
        <v>333</v>
      </c>
      <c r="J255" s="153" t="s">
        <v>329</v>
      </c>
      <c r="K255" s="153" t="s">
        <v>335</v>
      </c>
    </row>
    <row r="256" spans="1:11" ht="15.75" customHeight="1" x14ac:dyDescent="0.25">
      <c r="A256" s="153">
        <v>255</v>
      </c>
      <c r="B256" s="153" t="s">
        <v>593</v>
      </c>
      <c r="C256" s="153" t="s">
        <v>331</v>
      </c>
      <c r="D256" s="153" t="s">
        <v>328</v>
      </c>
      <c r="E256" s="153" t="s">
        <v>327</v>
      </c>
      <c r="F256" s="153" t="s">
        <v>346</v>
      </c>
      <c r="G256" s="153" t="s">
        <v>504</v>
      </c>
      <c r="H256" s="153" t="s">
        <v>337</v>
      </c>
      <c r="I256" s="153" t="s">
        <v>329</v>
      </c>
      <c r="J256" s="153" t="s">
        <v>334</v>
      </c>
      <c r="K256" s="153" t="s">
        <v>335</v>
      </c>
    </row>
    <row r="257" spans="1:11" ht="15.75" customHeight="1" x14ac:dyDescent="0.25">
      <c r="A257" s="153">
        <v>256</v>
      </c>
      <c r="B257" s="153" t="s">
        <v>594</v>
      </c>
      <c r="C257" s="153" t="s">
        <v>327</v>
      </c>
      <c r="D257" s="153" t="s">
        <v>332</v>
      </c>
      <c r="E257" s="153" t="s">
        <v>328</v>
      </c>
      <c r="F257" s="153" t="s">
        <v>346</v>
      </c>
      <c r="G257" s="153" t="s">
        <v>504</v>
      </c>
      <c r="H257" s="153" t="s">
        <v>337</v>
      </c>
      <c r="I257" s="153" t="s">
        <v>333</v>
      </c>
      <c r="J257" s="153" t="s">
        <v>334</v>
      </c>
      <c r="K257" s="153" t="s">
        <v>335</v>
      </c>
    </row>
    <row r="258" spans="1:11" ht="15.75" customHeight="1" x14ac:dyDescent="0.25">
      <c r="A258" s="153">
        <v>257</v>
      </c>
      <c r="B258" s="153" t="s">
        <v>595</v>
      </c>
      <c r="C258" s="153" t="s">
        <v>327</v>
      </c>
      <c r="D258" s="153" t="s">
        <v>332</v>
      </c>
      <c r="E258" s="153" t="s">
        <v>329</v>
      </c>
      <c r="F258" s="153" t="s">
        <v>346</v>
      </c>
      <c r="G258" s="153" t="s">
        <v>504</v>
      </c>
      <c r="H258" s="153" t="s">
        <v>337</v>
      </c>
      <c r="I258" s="153" t="s">
        <v>333</v>
      </c>
      <c r="J258" s="153" t="s">
        <v>334</v>
      </c>
      <c r="K258" s="153" t="s">
        <v>335</v>
      </c>
    </row>
    <row r="259" spans="1:11" ht="15.75" customHeight="1" x14ac:dyDescent="0.25">
      <c r="A259" s="153">
        <v>258</v>
      </c>
      <c r="B259" s="153" t="s">
        <v>596</v>
      </c>
      <c r="C259" s="153" t="s">
        <v>327</v>
      </c>
      <c r="D259" s="153" t="s">
        <v>332</v>
      </c>
      <c r="E259" s="153" t="s">
        <v>328</v>
      </c>
      <c r="F259" s="153" t="s">
        <v>346</v>
      </c>
      <c r="G259" s="153" t="s">
        <v>504</v>
      </c>
      <c r="H259" s="153" t="s">
        <v>337</v>
      </c>
      <c r="I259" s="153" t="s">
        <v>333</v>
      </c>
      <c r="J259" s="153" t="s">
        <v>329</v>
      </c>
      <c r="K259" s="153" t="s">
        <v>335</v>
      </c>
    </row>
    <row r="260" spans="1:11" ht="15.75" customHeight="1" x14ac:dyDescent="0.25">
      <c r="A260" s="153">
        <v>259</v>
      </c>
      <c r="B260" s="153" t="s">
        <v>597</v>
      </c>
      <c r="C260" s="153" t="s">
        <v>327</v>
      </c>
      <c r="D260" s="153" t="s">
        <v>332</v>
      </c>
      <c r="E260" s="153" t="s">
        <v>328</v>
      </c>
      <c r="F260" s="153" t="s">
        <v>346</v>
      </c>
      <c r="G260" s="153" t="s">
        <v>504</v>
      </c>
      <c r="H260" s="153" t="s">
        <v>337</v>
      </c>
      <c r="I260" s="153" t="s">
        <v>329</v>
      </c>
      <c r="J260" s="153" t="s">
        <v>334</v>
      </c>
      <c r="K260" s="153" t="s">
        <v>335</v>
      </c>
    </row>
    <row r="261" spans="1:11" ht="15.75" customHeight="1" x14ac:dyDescent="0.25">
      <c r="A261" s="153">
        <v>260</v>
      </c>
      <c r="B261" s="153" t="s">
        <v>598</v>
      </c>
      <c r="C261" s="153" t="s">
        <v>331</v>
      </c>
      <c r="D261" s="153" t="s">
        <v>332</v>
      </c>
      <c r="E261" s="153" t="s">
        <v>327</v>
      </c>
      <c r="F261" s="153" t="s">
        <v>346</v>
      </c>
      <c r="G261" s="153" t="s">
        <v>504</v>
      </c>
      <c r="H261" s="153" t="s">
        <v>337</v>
      </c>
      <c r="I261" s="153" t="s">
        <v>333</v>
      </c>
      <c r="J261" s="153" t="s">
        <v>334</v>
      </c>
      <c r="K261" s="153" t="s">
        <v>335</v>
      </c>
    </row>
    <row r="262" spans="1:11" ht="15.75" customHeight="1" x14ac:dyDescent="0.25">
      <c r="A262" s="153">
        <v>261</v>
      </c>
      <c r="B262" s="153" t="s">
        <v>599</v>
      </c>
      <c r="C262" s="153" t="s">
        <v>331</v>
      </c>
      <c r="D262" s="153" t="s">
        <v>332</v>
      </c>
      <c r="E262" s="153" t="s">
        <v>328</v>
      </c>
      <c r="F262" s="153" t="s">
        <v>346</v>
      </c>
      <c r="G262" s="153" t="s">
        <v>504</v>
      </c>
      <c r="H262" s="153" t="s">
        <v>337</v>
      </c>
      <c r="I262" s="153" t="s">
        <v>333</v>
      </c>
      <c r="J262" s="153" t="s">
        <v>327</v>
      </c>
      <c r="K262" s="153" t="s">
        <v>335</v>
      </c>
    </row>
    <row r="263" spans="1:11" ht="15.75" customHeight="1" x14ac:dyDescent="0.25">
      <c r="A263" s="153">
        <v>262</v>
      </c>
      <c r="B263" s="153" t="s">
        <v>600</v>
      </c>
      <c r="C263" s="153" t="s">
        <v>331</v>
      </c>
      <c r="D263" s="153" t="s">
        <v>332</v>
      </c>
      <c r="E263" s="153" t="s">
        <v>328</v>
      </c>
      <c r="F263" s="153" t="s">
        <v>346</v>
      </c>
      <c r="G263" s="153" t="s">
        <v>504</v>
      </c>
      <c r="H263" s="153" t="s">
        <v>337</v>
      </c>
      <c r="I263" s="153" t="s">
        <v>327</v>
      </c>
      <c r="J263" s="153" t="s">
        <v>334</v>
      </c>
      <c r="K263" s="153" t="s">
        <v>335</v>
      </c>
    </row>
    <row r="264" spans="1:11" ht="15.75" customHeight="1" x14ac:dyDescent="0.25">
      <c r="A264" s="153">
        <v>263</v>
      </c>
      <c r="B264" s="153" t="s">
        <v>601</v>
      </c>
      <c r="C264" s="153" t="s">
        <v>331</v>
      </c>
      <c r="D264" s="153" t="s">
        <v>332</v>
      </c>
      <c r="E264" s="153" t="s">
        <v>327</v>
      </c>
      <c r="F264" s="153" t="s">
        <v>346</v>
      </c>
      <c r="G264" s="153" t="s">
        <v>504</v>
      </c>
      <c r="H264" s="153" t="s">
        <v>337</v>
      </c>
      <c r="I264" s="153" t="s">
        <v>333</v>
      </c>
      <c r="J264" s="153" t="s">
        <v>329</v>
      </c>
      <c r="K264" s="153" t="s">
        <v>335</v>
      </c>
    </row>
    <row r="265" spans="1:11" ht="15.75" customHeight="1" x14ac:dyDescent="0.25">
      <c r="A265" s="153">
        <v>264</v>
      </c>
      <c r="B265" s="153" t="s">
        <v>602</v>
      </c>
      <c r="C265" s="153" t="s">
        <v>331</v>
      </c>
      <c r="D265" s="153" t="s">
        <v>332</v>
      </c>
      <c r="E265" s="153" t="s">
        <v>327</v>
      </c>
      <c r="F265" s="153" t="s">
        <v>346</v>
      </c>
      <c r="G265" s="153" t="s">
        <v>504</v>
      </c>
      <c r="H265" s="153" t="s">
        <v>337</v>
      </c>
      <c r="I265" s="153" t="s">
        <v>329</v>
      </c>
      <c r="J265" s="153" t="s">
        <v>334</v>
      </c>
      <c r="K265" s="153" t="s">
        <v>335</v>
      </c>
    </row>
    <row r="266" spans="1:11" ht="15.75" customHeight="1" x14ac:dyDescent="0.25">
      <c r="A266" s="153">
        <v>265</v>
      </c>
      <c r="B266" s="153" t="s">
        <v>603</v>
      </c>
      <c r="C266" s="153" t="s">
        <v>331</v>
      </c>
      <c r="D266" s="153" t="s">
        <v>332</v>
      </c>
      <c r="E266" s="153" t="s">
        <v>328</v>
      </c>
      <c r="F266" s="153" t="s">
        <v>346</v>
      </c>
      <c r="G266" s="153" t="s">
        <v>504</v>
      </c>
      <c r="H266" s="153" t="s">
        <v>337</v>
      </c>
      <c r="I266" s="153" t="s">
        <v>327</v>
      </c>
      <c r="J266" s="153" t="s">
        <v>329</v>
      </c>
      <c r="K266" s="153" t="s">
        <v>335</v>
      </c>
    </row>
    <row r="267" spans="1:11" ht="15.75" customHeight="1" x14ac:dyDescent="0.25">
      <c r="A267" s="153">
        <v>266</v>
      </c>
      <c r="B267" s="153" t="s">
        <v>604</v>
      </c>
      <c r="C267" s="153" t="s">
        <v>346</v>
      </c>
      <c r="D267" s="153" t="s">
        <v>328</v>
      </c>
      <c r="E267" s="153" t="s">
        <v>327</v>
      </c>
      <c r="F267" s="153" t="s">
        <v>337</v>
      </c>
      <c r="G267" s="153" t="s">
        <v>504</v>
      </c>
      <c r="H267" s="153" t="s">
        <v>330</v>
      </c>
      <c r="I267" s="153" t="s">
        <v>333</v>
      </c>
      <c r="J267" s="153" t="s">
        <v>334</v>
      </c>
      <c r="K267" s="153" t="s">
        <v>335</v>
      </c>
    </row>
    <row r="268" spans="1:11" ht="15.75" customHeight="1" x14ac:dyDescent="0.25">
      <c r="A268" s="153">
        <v>267</v>
      </c>
      <c r="B268" s="153" t="s">
        <v>605</v>
      </c>
      <c r="C268" s="153" t="s">
        <v>346</v>
      </c>
      <c r="D268" s="153" t="s">
        <v>327</v>
      </c>
      <c r="E268" s="153" t="s">
        <v>329</v>
      </c>
      <c r="F268" s="153" t="s">
        <v>337</v>
      </c>
      <c r="G268" s="153" t="s">
        <v>504</v>
      </c>
      <c r="H268" s="153" t="s">
        <v>330</v>
      </c>
      <c r="I268" s="153" t="s">
        <v>333</v>
      </c>
      <c r="J268" s="153" t="s">
        <v>334</v>
      </c>
      <c r="K268" s="153" t="s">
        <v>335</v>
      </c>
    </row>
    <row r="269" spans="1:11" ht="15.75" customHeight="1" x14ac:dyDescent="0.25">
      <c r="A269" s="153">
        <v>268</v>
      </c>
      <c r="B269" s="153" t="s">
        <v>606</v>
      </c>
      <c r="C269" s="153" t="s">
        <v>346</v>
      </c>
      <c r="D269" s="153" t="s">
        <v>328</v>
      </c>
      <c r="E269" s="153" t="s">
        <v>327</v>
      </c>
      <c r="F269" s="153" t="s">
        <v>337</v>
      </c>
      <c r="G269" s="153" t="s">
        <v>504</v>
      </c>
      <c r="H269" s="153" t="s">
        <v>330</v>
      </c>
      <c r="I269" s="153" t="s">
        <v>333</v>
      </c>
      <c r="J269" s="153" t="s">
        <v>329</v>
      </c>
      <c r="K269" s="153" t="s">
        <v>335</v>
      </c>
    </row>
    <row r="270" spans="1:11" ht="15.75" customHeight="1" x14ac:dyDescent="0.25">
      <c r="A270" s="153">
        <v>269</v>
      </c>
      <c r="B270" s="153" t="s">
        <v>607</v>
      </c>
      <c r="C270" s="153" t="s">
        <v>346</v>
      </c>
      <c r="D270" s="153" t="s">
        <v>328</v>
      </c>
      <c r="E270" s="153" t="s">
        <v>327</v>
      </c>
      <c r="F270" s="153" t="s">
        <v>337</v>
      </c>
      <c r="G270" s="153" t="s">
        <v>504</v>
      </c>
      <c r="H270" s="153" t="s">
        <v>330</v>
      </c>
      <c r="I270" s="153" t="s">
        <v>329</v>
      </c>
      <c r="J270" s="153" t="s">
        <v>334</v>
      </c>
      <c r="K270" s="153" t="s">
        <v>335</v>
      </c>
    </row>
    <row r="271" spans="1:11" ht="15.75" customHeight="1" x14ac:dyDescent="0.25">
      <c r="A271" s="153">
        <v>270</v>
      </c>
      <c r="B271" s="153" t="s">
        <v>608</v>
      </c>
      <c r="C271" s="153" t="s">
        <v>331</v>
      </c>
      <c r="D271" s="153" t="s">
        <v>327</v>
      </c>
      <c r="E271" s="153" t="s">
        <v>330</v>
      </c>
      <c r="F271" s="153" t="s">
        <v>346</v>
      </c>
      <c r="G271" s="153" t="s">
        <v>504</v>
      </c>
      <c r="H271" s="153" t="s">
        <v>337</v>
      </c>
      <c r="I271" s="153" t="s">
        <v>333</v>
      </c>
      <c r="J271" s="153" t="s">
        <v>334</v>
      </c>
      <c r="K271" s="153" t="s">
        <v>335</v>
      </c>
    </row>
    <row r="272" spans="1:11" ht="15.75" customHeight="1" x14ac:dyDescent="0.25">
      <c r="A272" s="153">
        <v>271</v>
      </c>
      <c r="B272" s="153" t="s">
        <v>609</v>
      </c>
      <c r="C272" s="153" t="s">
        <v>331</v>
      </c>
      <c r="D272" s="153" t="s">
        <v>328</v>
      </c>
      <c r="E272" s="153" t="s">
        <v>330</v>
      </c>
      <c r="F272" s="153" t="s">
        <v>346</v>
      </c>
      <c r="G272" s="153" t="s">
        <v>504</v>
      </c>
      <c r="H272" s="153" t="s">
        <v>337</v>
      </c>
      <c r="I272" s="153" t="s">
        <v>333</v>
      </c>
      <c r="J272" s="153" t="s">
        <v>327</v>
      </c>
      <c r="K272" s="153" t="s">
        <v>335</v>
      </c>
    </row>
    <row r="273" spans="1:11" ht="15.75" customHeight="1" x14ac:dyDescent="0.25">
      <c r="A273" s="153">
        <v>272</v>
      </c>
      <c r="B273" s="153" t="s">
        <v>610</v>
      </c>
      <c r="C273" s="153" t="s">
        <v>331</v>
      </c>
      <c r="D273" s="153" t="s">
        <v>328</v>
      </c>
      <c r="E273" s="153" t="s">
        <v>327</v>
      </c>
      <c r="F273" s="153" t="s">
        <v>346</v>
      </c>
      <c r="G273" s="153" t="s">
        <v>504</v>
      </c>
      <c r="H273" s="153" t="s">
        <v>330</v>
      </c>
      <c r="I273" s="153" t="s">
        <v>337</v>
      </c>
      <c r="J273" s="153" t="s">
        <v>334</v>
      </c>
      <c r="K273" s="153" t="s">
        <v>335</v>
      </c>
    </row>
    <row r="274" spans="1:11" ht="15.75" customHeight="1" x14ac:dyDescent="0.25">
      <c r="A274" s="153">
        <v>273</v>
      </c>
      <c r="B274" s="153" t="s">
        <v>611</v>
      </c>
      <c r="C274" s="153" t="s">
        <v>331</v>
      </c>
      <c r="D274" s="153" t="s">
        <v>327</v>
      </c>
      <c r="E274" s="153" t="s">
        <v>330</v>
      </c>
      <c r="F274" s="153" t="s">
        <v>346</v>
      </c>
      <c r="G274" s="153" t="s">
        <v>504</v>
      </c>
      <c r="H274" s="153" t="s">
        <v>337</v>
      </c>
      <c r="I274" s="153" t="s">
        <v>333</v>
      </c>
      <c r="J274" s="153" t="s">
        <v>329</v>
      </c>
      <c r="K274" s="153" t="s">
        <v>335</v>
      </c>
    </row>
    <row r="275" spans="1:11" ht="15.75" customHeight="1" x14ac:dyDescent="0.25">
      <c r="A275" s="153">
        <v>274</v>
      </c>
      <c r="B275" s="153" t="s">
        <v>612</v>
      </c>
      <c r="C275" s="153" t="s">
        <v>331</v>
      </c>
      <c r="D275" s="153" t="s">
        <v>327</v>
      </c>
      <c r="E275" s="153" t="s">
        <v>330</v>
      </c>
      <c r="F275" s="153" t="s">
        <v>346</v>
      </c>
      <c r="G275" s="153" t="s">
        <v>504</v>
      </c>
      <c r="H275" s="153" t="s">
        <v>337</v>
      </c>
      <c r="I275" s="153" t="s">
        <v>329</v>
      </c>
      <c r="J275" s="153" t="s">
        <v>334</v>
      </c>
      <c r="K275" s="153" t="s">
        <v>335</v>
      </c>
    </row>
    <row r="276" spans="1:11" ht="15.75" customHeight="1" x14ac:dyDescent="0.25">
      <c r="A276" s="153">
        <v>275</v>
      </c>
      <c r="B276" s="153" t="s">
        <v>613</v>
      </c>
      <c r="C276" s="153" t="s">
        <v>331</v>
      </c>
      <c r="D276" s="153" t="s">
        <v>328</v>
      </c>
      <c r="E276" s="153" t="s">
        <v>327</v>
      </c>
      <c r="F276" s="153" t="s">
        <v>346</v>
      </c>
      <c r="G276" s="153" t="s">
        <v>504</v>
      </c>
      <c r="H276" s="153" t="s">
        <v>330</v>
      </c>
      <c r="I276" s="153" t="s">
        <v>337</v>
      </c>
      <c r="J276" s="153" t="s">
        <v>329</v>
      </c>
      <c r="K276" s="153" t="s">
        <v>335</v>
      </c>
    </row>
    <row r="277" spans="1:11" ht="15.75" customHeight="1" x14ac:dyDescent="0.25">
      <c r="A277" s="153">
        <v>276</v>
      </c>
      <c r="B277" s="153" t="s">
        <v>614</v>
      </c>
      <c r="C277" s="153" t="s">
        <v>346</v>
      </c>
      <c r="D277" s="153" t="s">
        <v>332</v>
      </c>
      <c r="E277" s="153" t="s">
        <v>327</v>
      </c>
      <c r="F277" s="153" t="s">
        <v>337</v>
      </c>
      <c r="G277" s="153" t="s">
        <v>504</v>
      </c>
      <c r="H277" s="153" t="s">
        <v>330</v>
      </c>
      <c r="I277" s="153" t="s">
        <v>333</v>
      </c>
      <c r="J277" s="153" t="s">
        <v>334</v>
      </c>
      <c r="K277" s="153" t="s">
        <v>335</v>
      </c>
    </row>
    <row r="278" spans="1:11" ht="15.75" customHeight="1" x14ac:dyDescent="0.25">
      <c r="A278" s="153">
        <v>277</v>
      </c>
      <c r="B278" s="153" t="s">
        <v>615</v>
      </c>
      <c r="C278" s="153" t="s">
        <v>346</v>
      </c>
      <c r="D278" s="153" t="s">
        <v>332</v>
      </c>
      <c r="E278" s="153" t="s">
        <v>328</v>
      </c>
      <c r="F278" s="153" t="s">
        <v>337</v>
      </c>
      <c r="G278" s="153" t="s">
        <v>504</v>
      </c>
      <c r="H278" s="153" t="s">
        <v>330</v>
      </c>
      <c r="I278" s="153" t="s">
        <v>333</v>
      </c>
      <c r="J278" s="153" t="s">
        <v>327</v>
      </c>
      <c r="K278" s="153" t="s">
        <v>335</v>
      </c>
    </row>
    <row r="279" spans="1:11" ht="15.75" customHeight="1" x14ac:dyDescent="0.25">
      <c r="A279" s="153">
        <v>278</v>
      </c>
      <c r="B279" s="153" t="s">
        <v>616</v>
      </c>
      <c r="C279" s="153" t="s">
        <v>346</v>
      </c>
      <c r="D279" s="153" t="s">
        <v>332</v>
      </c>
      <c r="E279" s="153" t="s">
        <v>328</v>
      </c>
      <c r="F279" s="153" t="s">
        <v>337</v>
      </c>
      <c r="G279" s="153" t="s">
        <v>504</v>
      </c>
      <c r="H279" s="153" t="s">
        <v>330</v>
      </c>
      <c r="I279" s="153" t="s">
        <v>327</v>
      </c>
      <c r="J279" s="153" t="s">
        <v>334</v>
      </c>
      <c r="K279" s="153" t="s">
        <v>335</v>
      </c>
    </row>
    <row r="280" spans="1:11" ht="15.75" customHeight="1" x14ac:dyDescent="0.25">
      <c r="A280" s="153">
        <v>279</v>
      </c>
      <c r="B280" s="153" t="s">
        <v>617</v>
      </c>
      <c r="C280" s="153" t="s">
        <v>346</v>
      </c>
      <c r="D280" s="153" t="s">
        <v>332</v>
      </c>
      <c r="E280" s="153" t="s">
        <v>327</v>
      </c>
      <c r="F280" s="153" t="s">
        <v>337</v>
      </c>
      <c r="G280" s="153" t="s">
        <v>504</v>
      </c>
      <c r="H280" s="153" t="s">
        <v>330</v>
      </c>
      <c r="I280" s="153" t="s">
        <v>333</v>
      </c>
      <c r="J280" s="153" t="s">
        <v>329</v>
      </c>
      <c r="K280" s="153" t="s">
        <v>335</v>
      </c>
    </row>
    <row r="281" spans="1:11" ht="15.75" customHeight="1" x14ac:dyDescent="0.25">
      <c r="A281" s="153">
        <v>280</v>
      </c>
      <c r="B281" s="153" t="s">
        <v>618</v>
      </c>
      <c r="C281" s="153" t="s">
        <v>346</v>
      </c>
      <c r="D281" s="153" t="s">
        <v>332</v>
      </c>
      <c r="E281" s="153" t="s">
        <v>327</v>
      </c>
      <c r="F281" s="153" t="s">
        <v>337</v>
      </c>
      <c r="G281" s="153" t="s">
        <v>504</v>
      </c>
      <c r="H281" s="153" t="s">
        <v>330</v>
      </c>
      <c r="I281" s="153" t="s">
        <v>329</v>
      </c>
      <c r="J281" s="153" t="s">
        <v>334</v>
      </c>
      <c r="K281" s="153" t="s">
        <v>335</v>
      </c>
    </row>
    <row r="282" spans="1:11" ht="15.75" customHeight="1" x14ac:dyDescent="0.25">
      <c r="A282" s="153">
        <v>281</v>
      </c>
      <c r="B282" s="153" t="s">
        <v>619</v>
      </c>
      <c r="C282" s="153" t="s">
        <v>346</v>
      </c>
      <c r="D282" s="153" t="s">
        <v>332</v>
      </c>
      <c r="E282" s="153" t="s">
        <v>328</v>
      </c>
      <c r="F282" s="153" t="s">
        <v>337</v>
      </c>
      <c r="G282" s="153" t="s">
        <v>504</v>
      </c>
      <c r="H282" s="153" t="s">
        <v>330</v>
      </c>
      <c r="I282" s="153" t="s">
        <v>327</v>
      </c>
      <c r="J282" s="153" t="s">
        <v>329</v>
      </c>
      <c r="K282" s="153" t="s">
        <v>335</v>
      </c>
    </row>
    <row r="283" spans="1:11" ht="15.75" customHeight="1" x14ac:dyDescent="0.25">
      <c r="A283" s="153">
        <v>282</v>
      </c>
      <c r="B283" s="153" t="s">
        <v>620</v>
      </c>
      <c r="C283" s="153" t="s">
        <v>331</v>
      </c>
      <c r="D283" s="153" t="s">
        <v>332</v>
      </c>
      <c r="E283" s="153" t="s">
        <v>330</v>
      </c>
      <c r="F283" s="153" t="s">
        <v>346</v>
      </c>
      <c r="G283" s="153" t="s">
        <v>504</v>
      </c>
      <c r="H283" s="153" t="s">
        <v>337</v>
      </c>
      <c r="I283" s="153" t="s">
        <v>333</v>
      </c>
      <c r="J283" s="153" t="s">
        <v>327</v>
      </c>
      <c r="K283" s="153" t="s">
        <v>335</v>
      </c>
    </row>
    <row r="284" spans="1:11" ht="15.75" customHeight="1" x14ac:dyDescent="0.25">
      <c r="A284" s="153">
        <v>283</v>
      </c>
      <c r="B284" s="153" t="s">
        <v>621</v>
      </c>
      <c r="C284" s="153" t="s">
        <v>331</v>
      </c>
      <c r="D284" s="153" t="s">
        <v>332</v>
      </c>
      <c r="E284" s="153" t="s">
        <v>327</v>
      </c>
      <c r="F284" s="153" t="s">
        <v>346</v>
      </c>
      <c r="G284" s="153" t="s">
        <v>504</v>
      </c>
      <c r="H284" s="153" t="s">
        <v>330</v>
      </c>
      <c r="I284" s="153" t="s">
        <v>337</v>
      </c>
      <c r="J284" s="153" t="s">
        <v>334</v>
      </c>
      <c r="K284" s="153" t="s">
        <v>335</v>
      </c>
    </row>
    <row r="285" spans="1:11" ht="15.75" customHeight="1" x14ac:dyDescent="0.25">
      <c r="A285" s="153">
        <v>284</v>
      </c>
      <c r="B285" s="153" t="s">
        <v>622</v>
      </c>
      <c r="C285" s="153" t="s">
        <v>331</v>
      </c>
      <c r="D285" s="153" t="s">
        <v>332</v>
      </c>
      <c r="E285" s="153" t="s">
        <v>328</v>
      </c>
      <c r="F285" s="153" t="s">
        <v>346</v>
      </c>
      <c r="G285" s="153" t="s">
        <v>504</v>
      </c>
      <c r="H285" s="153" t="s">
        <v>330</v>
      </c>
      <c r="I285" s="153" t="s">
        <v>337</v>
      </c>
      <c r="J285" s="153" t="s">
        <v>327</v>
      </c>
      <c r="K285" s="153" t="s">
        <v>335</v>
      </c>
    </row>
    <row r="286" spans="1:11" ht="15.75" customHeight="1" x14ac:dyDescent="0.25">
      <c r="A286" s="153">
        <v>285</v>
      </c>
      <c r="B286" s="153" t="s">
        <v>623</v>
      </c>
      <c r="C286" s="153" t="s">
        <v>331</v>
      </c>
      <c r="D286" s="153" t="s">
        <v>332</v>
      </c>
      <c r="E286" s="153" t="s">
        <v>327</v>
      </c>
      <c r="F286" s="153" t="s">
        <v>346</v>
      </c>
      <c r="G286" s="153" t="s">
        <v>504</v>
      </c>
      <c r="H286" s="153" t="s">
        <v>330</v>
      </c>
      <c r="I286" s="153" t="s">
        <v>337</v>
      </c>
      <c r="J286" s="153" t="s">
        <v>329</v>
      </c>
      <c r="K286" s="153" t="s">
        <v>335</v>
      </c>
    </row>
    <row r="287" spans="1:11" ht="15.75" customHeight="1" x14ac:dyDescent="0.25">
      <c r="A287" s="153">
        <v>286</v>
      </c>
      <c r="B287" s="153" t="s">
        <v>624</v>
      </c>
      <c r="C287" s="153" t="s">
        <v>331</v>
      </c>
      <c r="D287" s="153" t="s">
        <v>328</v>
      </c>
      <c r="E287" s="153" t="s">
        <v>383</v>
      </c>
      <c r="F287" s="153" t="s">
        <v>504</v>
      </c>
      <c r="G287" s="153" t="s">
        <v>329</v>
      </c>
      <c r="H287" s="153" t="s">
        <v>332</v>
      </c>
      <c r="I287" s="153" t="s">
        <v>333</v>
      </c>
      <c r="J287" s="153" t="s">
        <v>334</v>
      </c>
      <c r="K287" s="153" t="s">
        <v>335</v>
      </c>
    </row>
    <row r="288" spans="1:11" ht="15.75" customHeight="1" x14ac:dyDescent="0.25">
      <c r="A288" s="153">
        <v>287</v>
      </c>
      <c r="B288" s="153" t="s">
        <v>625</v>
      </c>
      <c r="C288" s="153" t="s">
        <v>331</v>
      </c>
      <c r="D288" s="153" t="s">
        <v>328</v>
      </c>
      <c r="E288" s="153" t="s">
        <v>383</v>
      </c>
      <c r="F288" s="153" t="s">
        <v>504</v>
      </c>
      <c r="G288" s="153" t="s">
        <v>329</v>
      </c>
      <c r="H288" s="153" t="s">
        <v>330</v>
      </c>
      <c r="I288" s="153" t="s">
        <v>333</v>
      </c>
      <c r="J288" s="153" t="s">
        <v>334</v>
      </c>
      <c r="K288" s="153" t="s">
        <v>335</v>
      </c>
    </row>
    <row r="289" spans="1:11" ht="15.75" customHeight="1" x14ac:dyDescent="0.25">
      <c r="A289" s="153">
        <v>288</v>
      </c>
      <c r="B289" s="153" t="s">
        <v>626</v>
      </c>
      <c r="C289" s="153" t="s">
        <v>329</v>
      </c>
      <c r="D289" s="153" t="s">
        <v>328</v>
      </c>
      <c r="E289" s="153" t="s">
        <v>383</v>
      </c>
      <c r="F289" s="153" t="s">
        <v>330</v>
      </c>
      <c r="G289" s="153" t="s">
        <v>504</v>
      </c>
      <c r="H289" s="153" t="s">
        <v>332</v>
      </c>
      <c r="I289" s="153" t="s">
        <v>333</v>
      </c>
      <c r="J289" s="153" t="s">
        <v>334</v>
      </c>
      <c r="K289" s="153" t="s">
        <v>335</v>
      </c>
    </row>
    <row r="290" spans="1:11" ht="15.75" customHeight="1" x14ac:dyDescent="0.25">
      <c r="A290" s="153">
        <v>289</v>
      </c>
      <c r="B290" s="153" t="s">
        <v>627</v>
      </c>
      <c r="C290" s="153" t="s">
        <v>331</v>
      </c>
      <c r="D290" s="153" t="s">
        <v>328</v>
      </c>
      <c r="E290" s="153" t="s">
        <v>383</v>
      </c>
      <c r="F290" s="153" t="s">
        <v>330</v>
      </c>
      <c r="G290" s="153" t="s">
        <v>504</v>
      </c>
      <c r="H290" s="153" t="s">
        <v>332</v>
      </c>
      <c r="I290" s="153" t="s">
        <v>333</v>
      </c>
      <c r="J290" s="153" t="s">
        <v>334</v>
      </c>
      <c r="K290" s="153" t="s">
        <v>335</v>
      </c>
    </row>
    <row r="291" spans="1:11" ht="15.75" customHeight="1" x14ac:dyDescent="0.25">
      <c r="A291" s="153">
        <v>290</v>
      </c>
      <c r="B291" s="153" t="s">
        <v>628</v>
      </c>
      <c r="C291" s="153" t="s">
        <v>331</v>
      </c>
      <c r="D291" s="153" t="s">
        <v>332</v>
      </c>
      <c r="E291" s="153" t="s">
        <v>383</v>
      </c>
      <c r="F291" s="153" t="s">
        <v>504</v>
      </c>
      <c r="G291" s="153" t="s">
        <v>329</v>
      </c>
      <c r="H291" s="153" t="s">
        <v>330</v>
      </c>
      <c r="I291" s="153" t="s">
        <v>333</v>
      </c>
      <c r="J291" s="153" t="s">
        <v>334</v>
      </c>
      <c r="K291" s="153" t="s">
        <v>335</v>
      </c>
    </row>
    <row r="292" spans="1:11" ht="15.75" customHeight="1" x14ac:dyDescent="0.25">
      <c r="A292" s="153">
        <v>291</v>
      </c>
      <c r="B292" s="153" t="s">
        <v>629</v>
      </c>
      <c r="C292" s="153" t="s">
        <v>331</v>
      </c>
      <c r="D292" s="153" t="s">
        <v>328</v>
      </c>
      <c r="E292" s="153" t="s">
        <v>383</v>
      </c>
      <c r="F292" s="153" t="s">
        <v>330</v>
      </c>
      <c r="G292" s="153" t="s">
        <v>504</v>
      </c>
      <c r="H292" s="153" t="s">
        <v>332</v>
      </c>
      <c r="I292" s="153" t="s">
        <v>333</v>
      </c>
      <c r="J292" s="153" t="s">
        <v>329</v>
      </c>
      <c r="K292" s="153" t="s">
        <v>335</v>
      </c>
    </row>
    <row r="293" spans="1:11" ht="15.75" customHeight="1" x14ac:dyDescent="0.25">
      <c r="A293" s="153">
        <v>292</v>
      </c>
      <c r="B293" s="153" t="s">
        <v>630</v>
      </c>
      <c r="C293" s="153" t="s">
        <v>331</v>
      </c>
      <c r="D293" s="153" t="s">
        <v>328</v>
      </c>
      <c r="E293" s="153" t="s">
        <v>383</v>
      </c>
      <c r="F293" s="153" t="s">
        <v>330</v>
      </c>
      <c r="G293" s="153" t="s">
        <v>504</v>
      </c>
      <c r="H293" s="153" t="s">
        <v>332</v>
      </c>
      <c r="I293" s="153" t="s">
        <v>329</v>
      </c>
      <c r="J293" s="153" t="s">
        <v>334</v>
      </c>
      <c r="K293" s="153" t="s">
        <v>335</v>
      </c>
    </row>
    <row r="294" spans="1:11" ht="15.75" customHeight="1" x14ac:dyDescent="0.25">
      <c r="A294" s="153">
        <v>293</v>
      </c>
      <c r="B294" s="153" t="s">
        <v>631</v>
      </c>
      <c r="C294" s="153" t="s">
        <v>327</v>
      </c>
      <c r="D294" s="153" t="s">
        <v>328</v>
      </c>
      <c r="E294" s="153" t="s">
        <v>383</v>
      </c>
      <c r="F294" s="153" t="s">
        <v>504</v>
      </c>
      <c r="G294" s="153" t="s">
        <v>329</v>
      </c>
      <c r="H294" s="153" t="s">
        <v>331</v>
      </c>
      <c r="I294" s="153" t="s">
        <v>333</v>
      </c>
      <c r="J294" s="153" t="s">
        <v>334</v>
      </c>
      <c r="K294" s="153" t="s">
        <v>335</v>
      </c>
    </row>
    <row r="295" spans="1:11" ht="15.75" customHeight="1" x14ac:dyDescent="0.25">
      <c r="A295" s="153">
        <v>294</v>
      </c>
      <c r="B295" s="153" t="s">
        <v>632</v>
      </c>
      <c r="C295" s="153" t="s">
        <v>327</v>
      </c>
      <c r="D295" s="153" t="s">
        <v>328</v>
      </c>
      <c r="E295" s="153" t="s">
        <v>383</v>
      </c>
      <c r="F295" s="153" t="s">
        <v>504</v>
      </c>
      <c r="G295" s="153" t="s">
        <v>329</v>
      </c>
      <c r="H295" s="153" t="s">
        <v>332</v>
      </c>
      <c r="I295" s="153" t="s">
        <v>333</v>
      </c>
      <c r="J295" s="153" t="s">
        <v>334</v>
      </c>
      <c r="K295" s="153" t="s">
        <v>335</v>
      </c>
    </row>
    <row r="296" spans="1:11" ht="15.75" customHeight="1" x14ac:dyDescent="0.25">
      <c r="A296" s="153">
        <v>295</v>
      </c>
      <c r="B296" s="153" t="s">
        <v>633</v>
      </c>
      <c r="C296" s="153" t="s">
        <v>327</v>
      </c>
      <c r="D296" s="153" t="s">
        <v>328</v>
      </c>
      <c r="E296" s="153" t="s">
        <v>383</v>
      </c>
      <c r="F296" s="153" t="s">
        <v>504</v>
      </c>
      <c r="G296" s="153" t="s">
        <v>331</v>
      </c>
      <c r="H296" s="153" t="s">
        <v>332</v>
      </c>
      <c r="I296" s="153" t="s">
        <v>333</v>
      </c>
      <c r="J296" s="153" t="s">
        <v>334</v>
      </c>
      <c r="K296" s="153" t="s">
        <v>335</v>
      </c>
    </row>
    <row r="297" spans="1:11" ht="15.75" customHeight="1" x14ac:dyDescent="0.25">
      <c r="A297" s="153">
        <v>296</v>
      </c>
      <c r="B297" s="153" t="s">
        <v>634</v>
      </c>
      <c r="C297" s="153" t="s">
        <v>327</v>
      </c>
      <c r="D297" s="153" t="s">
        <v>332</v>
      </c>
      <c r="E297" s="153" t="s">
        <v>383</v>
      </c>
      <c r="F297" s="153" t="s">
        <v>504</v>
      </c>
      <c r="G297" s="153" t="s">
        <v>329</v>
      </c>
      <c r="H297" s="153" t="s">
        <v>331</v>
      </c>
      <c r="I297" s="153" t="s">
        <v>333</v>
      </c>
      <c r="J297" s="153" t="s">
        <v>334</v>
      </c>
      <c r="K297" s="153" t="s">
        <v>335</v>
      </c>
    </row>
    <row r="298" spans="1:11" ht="15.75" customHeight="1" x14ac:dyDescent="0.25">
      <c r="A298" s="153">
        <v>297</v>
      </c>
      <c r="B298" s="153" t="s">
        <v>635</v>
      </c>
      <c r="C298" s="153" t="s">
        <v>327</v>
      </c>
      <c r="D298" s="153" t="s">
        <v>328</v>
      </c>
      <c r="E298" s="153" t="s">
        <v>383</v>
      </c>
      <c r="F298" s="153" t="s">
        <v>504</v>
      </c>
      <c r="G298" s="153" t="s">
        <v>331</v>
      </c>
      <c r="H298" s="153" t="s">
        <v>332</v>
      </c>
      <c r="I298" s="153" t="s">
        <v>333</v>
      </c>
      <c r="J298" s="153" t="s">
        <v>329</v>
      </c>
      <c r="K298" s="153" t="s">
        <v>335</v>
      </c>
    </row>
    <row r="299" spans="1:11" ht="15.75" customHeight="1" x14ac:dyDescent="0.25">
      <c r="A299" s="153">
        <v>298</v>
      </c>
      <c r="B299" s="153" t="s">
        <v>636</v>
      </c>
      <c r="C299" s="153" t="s">
        <v>327</v>
      </c>
      <c r="D299" s="153" t="s">
        <v>328</v>
      </c>
      <c r="E299" s="153" t="s">
        <v>383</v>
      </c>
      <c r="F299" s="153" t="s">
        <v>504</v>
      </c>
      <c r="G299" s="153" t="s">
        <v>331</v>
      </c>
      <c r="H299" s="153" t="s">
        <v>332</v>
      </c>
      <c r="I299" s="153" t="s">
        <v>329</v>
      </c>
      <c r="J299" s="153" t="s">
        <v>334</v>
      </c>
      <c r="K299" s="153" t="s">
        <v>335</v>
      </c>
    </row>
    <row r="300" spans="1:11" ht="15.75" customHeight="1" x14ac:dyDescent="0.25">
      <c r="A300" s="153">
        <v>299</v>
      </c>
      <c r="B300" s="153" t="s">
        <v>637</v>
      </c>
      <c r="C300" s="153" t="s">
        <v>327</v>
      </c>
      <c r="D300" s="153" t="s">
        <v>328</v>
      </c>
      <c r="E300" s="153" t="s">
        <v>383</v>
      </c>
      <c r="F300" s="153" t="s">
        <v>504</v>
      </c>
      <c r="G300" s="153" t="s">
        <v>329</v>
      </c>
      <c r="H300" s="153" t="s">
        <v>330</v>
      </c>
      <c r="I300" s="153" t="s">
        <v>333</v>
      </c>
      <c r="J300" s="153" t="s">
        <v>334</v>
      </c>
      <c r="K300" s="153" t="s">
        <v>335</v>
      </c>
    </row>
    <row r="301" spans="1:11" ht="15.75" customHeight="1" x14ac:dyDescent="0.25">
      <c r="A301" s="153">
        <v>300</v>
      </c>
      <c r="B301" s="153" t="s">
        <v>638</v>
      </c>
      <c r="C301" s="153" t="s">
        <v>327</v>
      </c>
      <c r="D301" s="153" t="s">
        <v>328</v>
      </c>
      <c r="E301" s="153" t="s">
        <v>383</v>
      </c>
      <c r="F301" s="153" t="s">
        <v>330</v>
      </c>
      <c r="G301" s="153" t="s">
        <v>504</v>
      </c>
      <c r="H301" s="153" t="s">
        <v>331</v>
      </c>
      <c r="I301" s="153" t="s">
        <v>333</v>
      </c>
      <c r="J301" s="153" t="s">
        <v>334</v>
      </c>
      <c r="K301" s="153" t="s">
        <v>335</v>
      </c>
    </row>
    <row r="302" spans="1:11" ht="15.75" customHeight="1" x14ac:dyDescent="0.25">
      <c r="A302" s="153">
        <v>301</v>
      </c>
      <c r="B302" s="153" t="s">
        <v>639</v>
      </c>
      <c r="C302" s="153" t="s">
        <v>327</v>
      </c>
      <c r="D302" s="153" t="s">
        <v>329</v>
      </c>
      <c r="E302" s="153" t="s">
        <v>383</v>
      </c>
      <c r="F302" s="153" t="s">
        <v>330</v>
      </c>
      <c r="G302" s="153" t="s">
        <v>504</v>
      </c>
      <c r="H302" s="153" t="s">
        <v>331</v>
      </c>
      <c r="I302" s="153" t="s">
        <v>333</v>
      </c>
      <c r="J302" s="153" t="s">
        <v>334</v>
      </c>
      <c r="K302" s="153" t="s">
        <v>335</v>
      </c>
    </row>
    <row r="303" spans="1:11" ht="15.75" customHeight="1" x14ac:dyDescent="0.25">
      <c r="A303" s="153">
        <v>302</v>
      </c>
      <c r="B303" s="153" t="s">
        <v>640</v>
      </c>
      <c r="C303" s="153" t="s">
        <v>327</v>
      </c>
      <c r="D303" s="153" t="s">
        <v>328</v>
      </c>
      <c r="E303" s="153" t="s">
        <v>383</v>
      </c>
      <c r="F303" s="153" t="s">
        <v>330</v>
      </c>
      <c r="G303" s="153" t="s">
        <v>504</v>
      </c>
      <c r="H303" s="153" t="s">
        <v>331</v>
      </c>
      <c r="I303" s="153" t="s">
        <v>333</v>
      </c>
      <c r="J303" s="153" t="s">
        <v>329</v>
      </c>
      <c r="K303" s="153" t="s">
        <v>335</v>
      </c>
    </row>
    <row r="304" spans="1:11" ht="15.75" customHeight="1" x14ac:dyDescent="0.25">
      <c r="A304" s="153">
        <v>303</v>
      </c>
      <c r="B304" s="153" t="s">
        <v>641</v>
      </c>
      <c r="C304" s="153" t="s">
        <v>327</v>
      </c>
      <c r="D304" s="153" t="s">
        <v>328</v>
      </c>
      <c r="E304" s="153" t="s">
        <v>383</v>
      </c>
      <c r="F304" s="153" t="s">
        <v>330</v>
      </c>
      <c r="G304" s="153" t="s">
        <v>504</v>
      </c>
      <c r="H304" s="153" t="s">
        <v>331</v>
      </c>
      <c r="I304" s="153" t="s">
        <v>329</v>
      </c>
      <c r="J304" s="153" t="s">
        <v>334</v>
      </c>
      <c r="K304" s="153" t="s">
        <v>335</v>
      </c>
    </row>
    <row r="305" spans="1:11" ht="15.75" customHeight="1" x14ac:dyDescent="0.25">
      <c r="A305" s="153">
        <v>304</v>
      </c>
      <c r="B305" s="153" t="s">
        <v>642</v>
      </c>
      <c r="C305" s="153" t="s">
        <v>327</v>
      </c>
      <c r="D305" s="153" t="s">
        <v>328</v>
      </c>
      <c r="E305" s="153" t="s">
        <v>383</v>
      </c>
      <c r="F305" s="153" t="s">
        <v>330</v>
      </c>
      <c r="G305" s="153" t="s">
        <v>504</v>
      </c>
      <c r="H305" s="153" t="s">
        <v>332</v>
      </c>
      <c r="I305" s="153" t="s">
        <v>333</v>
      </c>
      <c r="J305" s="153" t="s">
        <v>334</v>
      </c>
      <c r="K305" s="153" t="s">
        <v>335</v>
      </c>
    </row>
    <row r="306" spans="1:11" ht="15.75" customHeight="1" x14ac:dyDescent="0.25">
      <c r="A306" s="153">
        <v>305</v>
      </c>
      <c r="B306" s="153" t="s">
        <v>643</v>
      </c>
      <c r="C306" s="153" t="s">
        <v>327</v>
      </c>
      <c r="D306" s="153" t="s">
        <v>332</v>
      </c>
      <c r="E306" s="153" t="s">
        <v>383</v>
      </c>
      <c r="F306" s="153" t="s">
        <v>504</v>
      </c>
      <c r="G306" s="153" t="s">
        <v>329</v>
      </c>
      <c r="H306" s="153" t="s">
        <v>330</v>
      </c>
      <c r="I306" s="153" t="s">
        <v>333</v>
      </c>
      <c r="J306" s="153" t="s">
        <v>334</v>
      </c>
      <c r="K306" s="153" t="s">
        <v>335</v>
      </c>
    </row>
    <row r="307" spans="1:11" ht="15.75" customHeight="1" x14ac:dyDescent="0.25">
      <c r="A307" s="153">
        <v>306</v>
      </c>
      <c r="B307" s="153" t="s">
        <v>644</v>
      </c>
      <c r="C307" s="153" t="s">
        <v>327</v>
      </c>
      <c r="D307" s="153" t="s">
        <v>328</v>
      </c>
      <c r="E307" s="153" t="s">
        <v>383</v>
      </c>
      <c r="F307" s="153" t="s">
        <v>330</v>
      </c>
      <c r="G307" s="153" t="s">
        <v>504</v>
      </c>
      <c r="H307" s="153" t="s">
        <v>332</v>
      </c>
      <c r="I307" s="153" t="s">
        <v>333</v>
      </c>
      <c r="J307" s="153" t="s">
        <v>329</v>
      </c>
      <c r="K307" s="153" t="s">
        <v>335</v>
      </c>
    </row>
    <row r="308" spans="1:11" ht="15.75" customHeight="1" x14ac:dyDescent="0.25">
      <c r="A308" s="153">
        <v>307</v>
      </c>
      <c r="B308" s="153" t="s">
        <v>645</v>
      </c>
      <c r="C308" s="153" t="s">
        <v>327</v>
      </c>
      <c r="D308" s="153" t="s">
        <v>328</v>
      </c>
      <c r="E308" s="153" t="s">
        <v>383</v>
      </c>
      <c r="F308" s="153" t="s">
        <v>330</v>
      </c>
      <c r="G308" s="153" t="s">
        <v>504</v>
      </c>
      <c r="H308" s="153" t="s">
        <v>332</v>
      </c>
      <c r="I308" s="153" t="s">
        <v>329</v>
      </c>
      <c r="J308" s="153" t="s">
        <v>334</v>
      </c>
      <c r="K308" s="153" t="s">
        <v>335</v>
      </c>
    </row>
    <row r="309" spans="1:11" ht="15.75" customHeight="1" x14ac:dyDescent="0.25">
      <c r="A309" s="153">
        <v>308</v>
      </c>
      <c r="B309" s="153" t="s">
        <v>646</v>
      </c>
      <c r="C309" s="153" t="s">
        <v>327</v>
      </c>
      <c r="D309" s="153" t="s">
        <v>332</v>
      </c>
      <c r="E309" s="153" t="s">
        <v>383</v>
      </c>
      <c r="F309" s="153" t="s">
        <v>330</v>
      </c>
      <c r="G309" s="153" t="s">
        <v>504</v>
      </c>
      <c r="H309" s="153" t="s">
        <v>331</v>
      </c>
      <c r="I309" s="153" t="s">
        <v>333</v>
      </c>
      <c r="J309" s="153" t="s">
        <v>334</v>
      </c>
      <c r="K309" s="153" t="s">
        <v>335</v>
      </c>
    </row>
    <row r="310" spans="1:11" ht="15.75" customHeight="1" x14ac:dyDescent="0.25">
      <c r="A310" s="153">
        <v>309</v>
      </c>
      <c r="B310" s="153" t="s">
        <v>647</v>
      </c>
      <c r="C310" s="153" t="s">
        <v>331</v>
      </c>
      <c r="D310" s="153" t="s">
        <v>328</v>
      </c>
      <c r="E310" s="153" t="s">
        <v>383</v>
      </c>
      <c r="F310" s="153" t="s">
        <v>330</v>
      </c>
      <c r="G310" s="153" t="s">
        <v>504</v>
      </c>
      <c r="H310" s="153" t="s">
        <v>332</v>
      </c>
      <c r="I310" s="153" t="s">
        <v>333</v>
      </c>
      <c r="J310" s="153" t="s">
        <v>327</v>
      </c>
      <c r="K310" s="153" t="s">
        <v>335</v>
      </c>
    </row>
    <row r="311" spans="1:11" ht="15.75" customHeight="1" x14ac:dyDescent="0.25">
      <c r="A311" s="153">
        <v>310</v>
      </c>
      <c r="B311" s="153" t="s">
        <v>648</v>
      </c>
      <c r="C311" s="153" t="s">
        <v>331</v>
      </c>
      <c r="D311" s="153" t="s">
        <v>328</v>
      </c>
      <c r="E311" s="153" t="s">
        <v>383</v>
      </c>
      <c r="F311" s="153" t="s">
        <v>330</v>
      </c>
      <c r="G311" s="153" t="s">
        <v>504</v>
      </c>
      <c r="H311" s="153" t="s">
        <v>332</v>
      </c>
      <c r="I311" s="153" t="s">
        <v>327</v>
      </c>
      <c r="J311" s="153" t="s">
        <v>334</v>
      </c>
      <c r="K311" s="153" t="s">
        <v>335</v>
      </c>
    </row>
    <row r="312" spans="1:11" ht="15.75" customHeight="1" x14ac:dyDescent="0.25">
      <c r="A312" s="153">
        <v>311</v>
      </c>
      <c r="B312" s="153" t="s">
        <v>649</v>
      </c>
      <c r="C312" s="153" t="s">
        <v>327</v>
      </c>
      <c r="D312" s="153" t="s">
        <v>332</v>
      </c>
      <c r="E312" s="153" t="s">
        <v>383</v>
      </c>
      <c r="F312" s="153" t="s">
        <v>330</v>
      </c>
      <c r="G312" s="153" t="s">
        <v>504</v>
      </c>
      <c r="H312" s="153" t="s">
        <v>331</v>
      </c>
      <c r="I312" s="153" t="s">
        <v>333</v>
      </c>
      <c r="J312" s="153" t="s">
        <v>329</v>
      </c>
      <c r="K312" s="153" t="s">
        <v>335</v>
      </c>
    </row>
    <row r="313" spans="1:11" ht="15.75" customHeight="1" x14ac:dyDescent="0.25">
      <c r="A313" s="153">
        <v>312</v>
      </c>
      <c r="B313" s="153" t="s">
        <v>650</v>
      </c>
      <c r="C313" s="153" t="s">
        <v>327</v>
      </c>
      <c r="D313" s="153" t="s">
        <v>332</v>
      </c>
      <c r="E313" s="153" t="s">
        <v>383</v>
      </c>
      <c r="F313" s="153" t="s">
        <v>330</v>
      </c>
      <c r="G313" s="153" t="s">
        <v>504</v>
      </c>
      <c r="H313" s="153" t="s">
        <v>331</v>
      </c>
      <c r="I313" s="153" t="s">
        <v>329</v>
      </c>
      <c r="J313" s="153" t="s">
        <v>334</v>
      </c>
      <c r="K313" s="153" t="s">
        <v>335</v>
      </c>
    </row>
    <row r="314" spans="1:11" ht="15.75" customHeight="1" x14ac:dyDescent="0.25">
      <c r="A314" s="153">
        <v>313</v>
      </c>
      <c r="B314" s="153" t="s">
        <v>651</v>
      </c>
      <c r="C314" s="153" t="s">
        <v>331</v>
      </c>
      <c r="D314" s="153" t="s">
        <v>328</v>
      </c>
      <c r="E314" s="153" t="s">
        <v>383</v>
      </c>
      <c r="F314" s="153" t="s">
        <v>330</v>
      </c>
      <c r="G314" s="153" t="s">
        <v>504</v>
      </c>
      <c r="H314" s="153" t="s">
        <v>332</v>
      </c>
      <c r="I314" s="153" t="s">
        <v>327</v>
      </c>
      <c r="J314" s="153" t="s">
        <v>329</v>
      </c>
      <c r="K314" s="153" t="s">
        <v>335</v>
      </c>
    </row>
    <row r="315" spans="1:11" ht="15.75" customHeight="1" x14ac:dyDescent="0.25">
      <c r="A315" s="153">
        <v>314</v>
      </c>
      <c r="B315" s="153" t="s">
        <v>652</v>
      </c>
      <c r="C315" s="153" t="s">
        <v>329</v>
      </c>
      <c r="D315" s="153" t="s">
        <v>328</v>
      </c>
      <c r="E315" s="153" t="s">
        <v>383</v>
      </c>
      <c r="F315" s="153" t="s">
        <v>337</v>
      </c>
      <c r="G315" s="153" t="s">
        <v>504</v>
      </c>
      <c r="H315" s="153" t="s">
        <v>331</v>
      </c>
      <c r="I315" s="153" t="s">
        <v>333</v>
      </c>
      <c r="J315" s="153" t="s">
        <v>334</v>
      </c>
      <c r="K315" s="153" t="s">
        <v>335</v>
      </c>
    </row>
    <row r="316" spans="1:11" ht="15.75" customHeight="1" x14ac:dyDescent="0.25">
      <c r="A316" s="153">
        <v>315</v>
      </c>
      <c r="B316" s="153" t="s">
        <v>653</v>
      </c>
      <c r="C316" s="153" t="s">
        <v>329</v>
      </c>
      <c r="D316" s="153" t="s">
        <v>328</v>
      </c>
      <c r="E316" s="153" t="s">
        <v>383</v>
      </c>
      <c r="F316" s="153" t="s">
        <v>337</v>
      </c>
      <c r="G316" s="153" t="s">
        <v>504</v>
      </c>
      <c r="H316" s="153" t="s">
        <v>332</v>
      </c>
      <c r="I316" s="153" t="s">
        <v>333</v>
      </c>
      <c r="J316" s="153" t="s">
        <v>334</v>
      </c>
      <c r="K316" s="153" t="s">
        <v>335</v>
      </c>
    </row>
    <row r="317" spans="1:11" ht="15.75" customHeight="1" x14ac:dyDescent="0.25">
      <c r="A317" s="153">
        <v>316</v>
      </c>
      <c r="B317" s="153" t="s">
        <v>654</v>
      </c>
      <c r="C317" s="153" t="s">
        <v>331</v>
      </c>
      <c r="D317" s="153" t="s">
        <v>328</v>
      </c>
      <c r="E317" s="153" t="s">
        <v>383</v>
      </c>
      <c r="F317" s="153" t="s">
        <v>337</v>
      </c>
      <c r="G317" s="153" t="s">
        <v>504</v>
      </c>
      <c r="H317" s="153" t="s">
        <v>332</v>
      </c>
      <c r="I317" s="153" t="s">
        <v>333</v>
      </c>
      <c r="J317" s="153" t="s">
        <v>334</v>
      </c>
      <c r="K317" s="153" t="s">
        <v>335</v>
      </c>
    </row>
    <row r="318" spans="1:11" ht="15.75" customHeight="1" x14ac:dyDescent="0.25">
      <c r="A318" s="153">
        <v>317</v>
      </c>
      <c r="B318" s="153" t="s">
        <v>655</v>
      </c>
      <c r="C318" s="153" t="s">
        <v>329</v>
      </c>
      <c r="D318" s="153" t="s">
        <v>332</v>
      </c>
      <c r="E318" s="153" t="s">
        <v>383</v>
      </c>
      <c r="F318" s="153" t="s">
        <v>337</v>
      </c>
      <c r="G318" s="153" t="s">
        <v>504</v>
      </c>
      <c r="H318" s="153" t="s">
        <v>331</v>
      </c>
      <c r="I318" s="153" t="s">
        <v>333</v>
      </c>
      <c r="J318" s="153" t="s">
        <v>334</v>
      </c>
      <c r="K318" s="153" t="s">
        <v>335</v>
      </c>
    </row>
    <row r="319" spans="1:11" ht="15.75" customHeight="1" x14ac:dyDescent="0.25">
      <c r="A319" s="153">
        <v>318</v>
      </c>
      <c r="B319" s="153" t="s">
        <v>656</v>
      </c>
      <c r="C319" s="153" t="s">
        <v>331</v>
      </c>
      <c r="D319" s="153" t="s">
        <v>328</v>
      </c>
      <c r="E319" s="153" t="s">
        <v>383</v>
      </c>
      <c r="F319" s="153" t="s">
        <v>337</v>
      </c>
      <c r="G319" s="153" t="s">
        <v>504</v>
      </c>
      <c r="H319" s="153" t="s">
        <v>332</v>
      </c>
      <c r="I319" s="153" t="s">
        <v>333</v>
      </c>
      <c r="J319" s="153" t="s">
        <v>329</v>
      </c>
      <c r="K319" s="153" t="s">
        <v>335</v>
      </c>
    </row>
    <row r="320" spans="1:11" ht="15.75" customHeight="1" x14ac:dyDescent="0.25">
      <c r="A320" s="153">
        <v>319</v>
      </c>
      <c r="B320" s="153" t="s">
        <v>657</v>
      </c>
      <c r="C320" s="153" t="s">
        <v>331</v>
      </c>
      <c r="D320" s="153" t="s">
        <v>328</v>
      </c>
      <c r="E320" s="153" t="s">
        <v>383</v>
      </c>
      <c r="F320" s="153" t="s">
        <v>337</v>
      </c>
      <c r="G320" s="153" t="s">
        <v>504</v>
      </c>
      <c r="H320" s="153" t="s">
        <v>332</v>
      </c>
      <c r="I320" s="153" t="s">
        <v>329</v>
      </c>
      <c r="J320" s="153" t="s">
        <v>334</v>
      </c>
      <c r="K320" s="153" t="s">
        <v>335</v>
      </c>
    </row>
    <row r="321" spans="1:11" ht="15.75" customHeight="1" x14ac:dyDescent="0.25">
      <c r="A321" s="153">
        <v>320</v>
      </c>
      <c r="B321" s="153" t="s">
        <v>658</v>
      </c>
      <c r="C321" s="153" t="s">
        <v>329</v>
      </c>
      <c r="D321" s="153" t="s">
        <v>328</v>
      </c>
      <c r="E321" s="153" t="s">
        <v>383</v>
      </c>
      <c r="F321" s="153" t="s">
        <v>337</v>
      </c>
      <c r="G321" s="153" t="s">
        <v>504</v>
      </c>
      <c r="H321" s="153" t="s">
        <v>330</v>
      </c>
      <c r="I321" s="153" t="s">
        <v>333</v>
      </c>
      <c r="J321" s="153" t="s">
        <v>334</v>
      </c>
      <c r="K321" s="153" t="s">
        <v>335</v>
      </c>
    </row>
    <row r="322" spans="1:11" ht="15.75" customHeight="1" x14ac:dyDescent="0.25">
      <c r="A322" s="153">
        <v>321</v>
      </c>
      <c r="B322" s="153" t="s">
        <v>659</v>
      </c>
      <c r="C322" s="153" t="s">
        <v>331</v>
      </c>
      <c r="D322" s="153" t="s">
        <v>328</v>
      </c>
      <c r="E322" s="153" t="s">
        <v>383</v>
      </c>
      <c r="F322" s="153" t="s">
        <v>337</v>
      </c>
      <c r="G322" s="153" t="s">
        <v>504</v>
      </c>
      <c r="H322" s="153" t="s">
        <v>330</v>
      </c>
      <c r="I322" s="153" t="s">
        <v>333</v>
      </c>
      <c r="J322" s="153" t="s">
        <v>334</v>
      </c>
      <c r="K322" s="153" t="s">
        <v>335</v>
      </c>
    </row>
    <row r="323" spans="1:11" ht="15.75" customHeight="1" x14ac:dyDescent="0.25">
      <c r="A323" s="153">
        <v>322</v>
      </c>
      <c r="B323" s="153" t="s">
        <v>660</v>
      </c>
      <c r="C323" s="153" t="s">
        <v>331</v>
      </c>
      <c r="D323" s="153" t="s">
        <v>329</v>
      </c>
      <c r="E323" s="153" t="s">
        <v>383</v>
      </c>
      <c r="F323" s="153" t="s">
        <v>337</v>
      </c>
      <c r="G323" s="153" t="s">
        <v>504</v>
      </c>
      <c r="H323" s="153" t="s">
        <v>330</v>
      </c>
      <c r="I323" s="153" t="s">
        <v>333</v>
      </c>
      <c r="J323" s="153" t="s">
        <v>334</v>
      </c>
      <c r="K323" s="153" t="s">
        <v>335</v>
      </c>
    </row>
    <row r="324" spans="1:11" ht="15.75" customHeight="1" x14ac:dyDescent="0.25">
      <c r="A324" s="153">
        <v>323</v>
      </c>
      <c r="B324" s="153" t="s">
        <v>661</v>
      </c>
      <c r="C324" s="153" t="s">
        <v>331</v>
      </c>
      <c r="D324" s="153" t="s">
        <v>328</v>
      </c>
      <c r="E324" s="153" t="s">
        <v>383</v>
      </c>
      <c r="F324" s="153" t="s">
        <v>337</v>
      </c>
      <c r="G324" s="153" t="s">
        <v>504</v>
      </c>
      <c r="H324" s="153" t="s">
        <v>330</v>
      </c>
      <c r="I324" s="153" t="s">
        <v>333</v>
      </c>
      <c r="J324" s="153" t="s">
        <v>329</v>
      </c>
      <c r="K324" s="153" t="s">
        <v>335</v>
      </c>
    </row>
    <row r="325" spans="1:11" ht="15.75" customHeight="1" x14ac:dyDescent="0.25">
      <c r="A325" s="153">
        <v>324</v>
      </c>
      <c r="B325" s="153" t="s">
        <v>662</v>
      </c>
      <c r="C325" s="153" t="s">
        <v>331</v>
      </c>
      <c r="D325" s="153" t="s">
        <v>328</v>
      </c>
      <c r="E325" s="153" t="s">
        <v>383</v>
      </c>
      <c r="F325" s="153" t="s">
        <v>337</v>
      </c>
      <c r="G325" s="153" t="s">
        <v>504</v>
      </c>
      <c r="H325" s="153" t="s">
        <v>330</v>
      </c>
      <c r="I325" s="153" t="s">
        <v>329</v>
      </c>
      <c r="J325" s="153" t="s">
        <v>334</v>
      </c>
      <c r="K325" s="153" t="s">
        <v>335</v>
      </c>
    </row>
    <row r="326" spans="1:11" ht="15.75" customHeight="1" x14ac:dyDescent="0.25">
      <c r="A326" s="153">
        <v>325</v>
      </c>
      <c r="B326" s="153" t="s">
        <v>663</v>
      </c>
      <c r="C326" s="153" t="s">
        <v>330</v>
      </c>
      <c r="D326" s="153" t="s">
        <v>328</v>
      </c>
      <c r="E326" s="153" t="s">
        <v>383</v>
      </c>
      <c r="F326" s="153" t="s">
        <v>337</v>
      </c>
      <c r="G326" s="153" t="s">
        <v>504</v>
      </c>
      <c r="H326" s="153" t="s">
        <v>332</v>
      </c>
      <c r="I326" s="153" t="s">
        <v>333</v>
      </c>
      <c r="J326" s="153" t="s">
        <v>334</v>
      </c>
      <c r="K326" s="153" t="s">
        <v>335</v>
      </c>
    </row>
    <row r="327" spans="1:11" ht="15.75" customHeight="1" x14ac:dyDescent="0.25">
      <c r="A327" s="153">
        <v>326</v>
      </c>
      <c r="B327" s="153" t="s">
        <v>664</v>
      </c>
      <c r="C327" s="153" t="s">
        <v>329</v>
      </c>
      <c r="D327" s="153" t="s">
        <v>332</v>
      </c>
      <c r="E327" s="153" t="s">
        <v>383</v>
      </c>
      <c r="F327" s="153" t="s">
        <v>337</v>
      </c>
      <c r="G327" s="153" t="s">
        <v>504</v>
      </c>
      <c r="H327" s="153" t="s">
        <v>330</v>
      </c>
      <c r="I327" s="153" t="s">
        <v>333</v>
      </c>
      <c r="J327" s="153" t="s">
        <v>334</v>
      </c>
      <c r="K327" s="153" t="s">
        <v>335</v>
      </c>
    </row>
    <row r="328" spans="1:11" ht="15.75" customHeight="1" x14ac:dyDescent="0.25">
      <c r="A328" s="153">
        <v>327</v>
      </c>
      <c r="B328" s="153" t="s">
        <v>665</v>
      </c>
      <c r="C328" s="153" t="s">
        <v>330</v>
      </c>
      <c r="D328" s="153" t="s">
        <v>328</v>
      </c>
      <c r="E328" s="153" t="s">
        <v>383</v>
      </c>
      <c r="F328" s="153" t="s">
        <v>337</v>
      </c>
      <c r="G328" s="153" t="s">
        <v>504</v>
      </c>
      <c r="H328" s="153" t="s">
        <v>332</v>
      </c>
      <c r="I328" s="153" t="s">
        <v>333</v>
      </c>
      <c r="J328" s="153" t="s">
        <v>329</v>
      </c>
      <c r="K328" s="153" t="s">
        <v>335</v>
      </c>
    </row>
    <row r="329" spans="1:11" ht="15.75" customHeight="1" x14ac:dyDescent="0.25">
      <c r="A329" s="153">
        <v>328</v>
      </c>
      <c r="B329" s="153" t="s">
        <v>666</v>
      </c>
      <c r="C329" s="153" t="s">
        <v>330</v>
      </c>
      <c r="D329" s="153" t="s">
        <v>328</v>
      </c>
      <c r="E329" s="153" t="s">
        <v>383</v>
      </c>
      <c r="F329" s="153" t="s">
        <v>337</v>
      </c>
      <c r="G329" s="153" t="s">
        <v>504</v>
      </c>
      <c r="H329" s="153" t="s">
        <v>332</v>
      </c>
      <c r="I329" s="153" t="s">
        <v>329</v>
      </c>
      <c r="J329" s="153" t="s">
        <v>334</v>
      </c>
      <c r="K329" s="153" t="s">
        <v>335</v>
      </c>
    </row>
    <row r="330" spans="1:11" ht="15.75" customHeight="1" x14ac:dyDescent="0.25">
      <c r="A330" s="153">
        <v>329</v>
      </c>
      <c r="B330" s="153" t="s">
        <v>667</v>
      </c>
      <c r="C330" s="153" t="s">
        <v>331</v>
      </c>
      <c r="D330" s="153" t="s">
        <v>332</v>
      </c>
      <c r="E330" s="153" t="s">
        <v>383</v>
      </c>
      <c r="F330" s="153" t="s">
        <v>337</v>
      </c>
      <c r="G330" s="153" t="s">
        <v>504</v>
      </c>
      <c r="H330" s="153" t="s">
        <v>330</v>
      </c>
      <c r="I330" s="153" t="s">
        <v>333</v>
      </c>
      <c r="J330" s="153" t="s">
        <v>334</v>
      </c>
      <c r="K330" s="153" t="s">
        <v>335</v>
      </c>
    </row>
    <row r="331" spans="1:11" ht="15.75" customHeight="1" x14ac:dyDescent="0.25">
      <c r="A331" s="153">
        <v>330</v>
      </c>
      <c r="B331" s="153" t="s">
        <v>668</v>
      </c>
      <c r="C331" s="153" t="s">
        <v>331</v>
      </c>
      <c r="D331" s="153" t="s">
        <v>332</v>
      </c>
      <c r="E331" s="153" t="s">
        <v>383</v>
      </c>
      <c r="F331" s="153" t="s">
        <v>337</v>
      </c>
      <c r="G331" s="153" t="s">
        <v>504</v>
      </c>
      <c r="H331" s="153" t="s">
        <v>330</v>
      </c>
      <c r="I331" s="153" t="s">
        <v>333</v>
      </c>
      <c r="J331" s="153" t="s">
        <v>328</v>
      </c>
      <c r="K331" s="153" t="s">
        <v>335</v>
      </c>
    </row>
    <row r="332" spans="1:11" ht="15.75" customHeight="1" x14ac:dyDescent="0.25">
      <c r="A332" s="153">
        <v>331</v>
      </c>
      <c r="B332" s="153" t="s">
        <v>669</v>
      </c>
      <c r="C332" s="153" t="s">
        <v>331</v>
      </c>
      <c r="D332" s="153" t="s">
        <v>332</v>
      </c>
      <c r="E332" s="153" t="s">
        <v>383</v>
      </c>
      <c r="F332" s="153" t="s">
        <v>337</v>
      </c>
      <c r="G332" s="153" t="s">
        <v>504</v>
      </c>
      <c r="H332" s="153" t="s">
        <v>330</v>
      </c>
      <c r="I332" s="153" t="s">
        <v>328</v>
      </c>
      <c r="J332" s="153" t="s">
        <v>334</v>
      </c>
      <c r="K332" s="153" t="s">
        <v>335</v>
      </c>
    </row>
    <row r="333" spans="1:11" ht="15.75" customHeight="1" x14ac:dyDescent="0.25">
      <c r="A333" s="153">
        <v>332</v>
      </c>
      <c r="B333" s="153" t="s">
        <v>670</v>
      </c>
      <c r="C333" s="153" t="s">
        <v>331</v>
      </c>
      <c r="D333" s="153" t="s">
        <v>332</v>
      </c>
      <c r="E333" s="153" t="s">
        <v>383</v>
      </c>
      <c r="F333" s="153" t="s">
        <v>337</v>
      </c>
      <c r="G333" s="153" t="s">
        <v>504</v>
      </c>
      <c r="H333" s="153" t="s">
        <v>330</v>
      </c>
      <c r="I333" s="153" t="s">
        <v>333</v>
      </c>
      <c r="J333" s="153" t="s">
        <v>329</v>
      </c>
      <c r="K333" s="153" t="s">
        <v>335</v>
      </c>
    </row>
    <row r="334" spans="1:11" ht="15.75" customHeight="1" x14ac:dyDescent="0.25">
      <c r="A334" s="153">
        <v>333</v>
      </c>
      <c r="B334" s="153" t="s">
        <v>671</v>
      </c>
      <c r="C334" s="153" t="s">
        <v>331</v>
      </c>
      <c r="D334" s="153" t="s">
        <v>332</v>
      </c>
      <c r="E334" s="153" t="s">
        <v>383</v>
      </c>
      <c r="F334" s="153" t="s">
        <v>337</v>
      </c>
      <c r="G334" s="153" t="s">
        <v>504</v>
      </c>
      <c r="H334" s="153" t="s">
        <v>330</v>
      </c>
      <c r="I334" s="153" t="s">
        <v>329</v>
      </c>
      <c r="J334" s="153" t="s">
        <v>334</v>
      </c>
      <c r="K334" s="153" t="s">
        <v>335</v>
      </c>
    </row>
    <row r="335" spans="1:11" ht="15.75" customHeight="1" x14ac:dyDescent="0.25">
      <c r="A335" s="153">
        <v>334</v>
      </c>
      <c r="B335" s="153" t="s">
        <v>672</v>
      </c>
      <c r="C335" s="153" t="s">
        <v>331</v>
      </c>
      <c r="D335" s="153" t="s">
        <v>332</v>
      </c>
      <c r="E335" s="153" t="s">
        <v>383</v>
      </c>
      <c r="F335" s="153" t="s">
        <v>337</v>
      </c>
      <c r="G335" s="153" t="s">
        <v>504</v>
      </c>
      <c r="H335" s="153" t="s">
        <v>330</v>
      </c>
      <c r="I335" s="153" t="s">
        <v>329</v>
      </c>
      <c r="J335" s="153" t="s">
        <v>328</v>
      </c>
      <c r="K335" s="153" t="s">
        <v>335</v>
      </c>
    </row>
    <row r="336" spans="1:11" ht="15.75" customHeight="1" x14ac:dyDescent="0.25">
      <c r="A336" s="153">
        <v>335</v>
      </c>
      <c r="B336" s="153" t="s">
        <v>673</v>
      </c>
      <c r="C336" s="153" t="s">
        <v>327</v>
      </c>
      <c r="D336" s="153" t="s">
        <v>328</v>
      </c>
      <c r="E336" s="153" t="s">
        <v>383</v>
      </c>
      <c r="F336" s="153" t="s">
        <v>504</v>
      </c>
      <c r="G336" s="153" t="s">
        <v>329</v>
      </c>
      <c r="H336" s="153" t="s">
        <v>337</v>
      </c>
      <c r="I336" s="153" t="s">
        <v>333</v>
      </c>
      <c r="J336" s="153" t="s">
        <v>334</v>
      </c>
      <c r="K336" s="153" t="s">
        <v>335</v>
      </c>
    </row>
    <row r="337" spans="1:11" ht="15.75" customHeight="1" x14ac:dyDescent="0.25">
      <c r="A337" s="153">
        <v>336</v>
      </c>
      <c r="B337" s="153" t="s">
        <v>674</v>
      </c>
      <c r="C337" s="153" t="s">
        <v>327</v>
      </c>
      <c r="D337" s="153" t="s">
        <v>328</v>
      </c>
      <c r="E337" s="153" t="s">
        <v>383</v>
      </c>
      <c r="F337" s="153" t="s">
        <v>337</v>
      </c>
      <c r="G337" s="153" t="s">
        <v>504</v>
      </c>
      <c r="H337" s="153" t="s">
        <v>331</v>
      </c>
      <c r="I337" s="153" t="s">
        <v>333</v>
      </c>
      <c r="J337" s="153" t="s">
        <v>334</v>
      </c>
      <c r="K337" s="153" t="s">
        <v>335</v>
      </c>
    </row>
    <row r="338" spans="1:11" ht="15.75" customHeight="1" x14ac:dyDescent="0.25">
      <c r="A338" s="153">
        <v>337</v>
      </c>
      <c r="B338" s="153" t="s">
        <v>675</v>
      </c>
      <c r="C338" s="153" t="s">
        <v>327</v>
      </c>
      <c r="D338" s="153" t="s">
        <v>329</v>
      </c>
      <c r="E338" s="153" t="s">
        <v>383</v>
      </c>
      <c r="F338" s="153" t="s">
        <v>337</v>
      </c>
      <c r="G338" s="153" t="s">
        <v>504</v>
      </c>
      <c r="H338" s="153" t="s">
        <v>331</v>
      </c>
      <c r="I338" s="153" t="s">
        <v>333</v>
      </c>
      <c r="J338" s="153" t="s">
        <v>334</v>
      </c>
      <c r="K338" s="153" t="s">
        <v>335</v>
      </c>
    </row>
    <row r="339" spans="1:11" ht="15.75" customHeight="1" x14ac:dyDescent="0.25">
      <c r="A339" s="153">
        <v>338</v>
      </c>
      <c r="B339" s="153" t="s">
        <v>676</v>
      </c>
      <c r="C339" s="153" t="s">
        <v>327</v>
      </c>
      <c r="D339" s="153" t="s">
        <v>328</v>
      </c>
      <c r="E339" s="153" t="s">
        <v>383</v>
      </c>
      <c r="F339" s="153" t="s">
        <v>337</v>
      </c>
      <c r="G339" s="153" t="s">
        <v>504</v>
      </c>
      <c r="H339" s="153" t="s">
        <v>331</v>
      </c>
      <c r="I339" s="153" t="s">
        <v>333</v>
      </c>
      <c r="J339" s="153" t="s">
        <v>329</v>
      </c>
      <c r="K339" s="153" t="s">
        <v>335</v>
      </c>
    </row>
    <row r="340" spans="1:11" ht="15.75" customHeight="1" x14ac:dyDescent="0.25">
      <c r="A340" s="153">
        <v>339</v>
      </c>
      <c r="B340" s="153" t="s">
        <v>677</v>
      </c>
      <c r="C340" s="153" t="s">
        <v>327</v>
      </c>
      <c r="D340" s="153" t="s">
        <v>328</v>
      </c>
      <c r="E340" s="153" t="s">
        <v>383</v>
      </c>
      <c r="F340" s="153" t="s">
        <v>337</v>
      </c>
      <c r="G340" s="153" t="s">
        <v>504</v>
      </c>
      <c r="H340" s="153" t="s">
        <v>331</v>
      </c>
      <c r="I340" s="153" t="s">
        <v>329</v>
      </c>
      <c r="J340" s="153" t="s">
        <v>334</v>
      </c>
      <c r="K340" s="153" t="s">
        <v>335</v>
      </c>
    </row>
    <row r="341" spans="1:11" ht="15.75" customHeight="1" x14ac:dyDescent="0.25">
      <c r="A341" s="153">
        <v>340</v>
      </c>
      <c r="B341" s="153" t="s">
        <v>678</v>
      </c>
      <c r="C341" s="153" t="s">
        <v>327</v>
      </c>
      <c r="D341" s="153" t="s">
        <v>328</v>
      </c>
      <c r="E341" s="153" t="s">
        <v>383</v>
      </c>
      <c r="F341" s="153" t="s">
        <v>337</v>
      </c>
      <c r="G341" s="153" t="s">
        <v>504</v>
      </c>
      <c r="H341" s="153" t="s">
        <v>332</v>
      </c>
      <c r="I341" s="153" t="s">
        <v>333</v>
      </c>
      <c r="J341" s="153" t="s">
        <v>334</v>
      </c>
      <c r="K341" s="153" t="s">
        <v>335</v>
      </c>
    </row>
    <row r="342" spans="1:11" ht="15.75" customHeight="1" x14ac:dyDescent="0.25">
      <c r="A342" s="153">
        <v>341</v>
      </c>
      <c r="B342" s="153" t="s">
        <v>679</v>
      </c>
      <c r="C342" s="153" t="s">
        <v>327</v>
      </c>
      <c r="D342" s="153" t="s">
        <v>332</v>
      </c>
      <c r="E342" s="153" t="s">
        <v>383</v>
      </c>
      <c r="F342" s="153" t="s">
        <v>504</v>
      </c>
      <c r="G342" s="153" t="s">
        <v>329</v>
      </c>
      <c r="H342" s="153" t="s">
        <v>337</v>
      </c>
      <c r="I342" s="153" t="s">
        <v>333</v>
      </c>
      <c r="J342" s="153" t="s">
        <v>334</v>
      </c>
      <c r="K342" s="153" t="s">
        <v>335</v>
      </c>
    </row>
    <row r="343" spans="1:11" ht="15.75" customHeight="1" x14ac:dyDescent="0.25">
      <c r="A343" s="153">
        <v>342</v>
      </c>
      <c r="B343" s="153" t="s">
        <v>680</v>
      </c>
      <c r="C343" s="153" t="s">
        <v>327</v>
      </c>
      <c r="D343" s="153" t="s">
        <v>328</v>
      </c>
      <c r="E343" s="153" t="s">
        <v>383</v>
      </c>
      <c r="F343" s="153" t="s">
        <v>337</v>
      </c>
      <c r="G343" s="153" t="s">
        <v>504</v>
      </c>
      <c r="H343" s="153" t="s">
        <v>332</v>
      </c>
      <c r="I343" s="153" t="s">
        <v>333</v>
      </c>
      <c r="J343" s="153" t="s">
        <v>329</v>
      </c>
      <c r="K343" s="153" t="s">
        <v>335</v>
      </c>
    </row>
    <row r="344" spans="1:11" ht="15.75" customHeight="1" x14ac:dyDescent="0.25">
      <c r="A344" s="153">
        <v>343</v>
      </c>
      <c r="B344" s="153" t="s">
        <v>681</v>
      </c>
      <c r="C344" s="153" t="s">
        <v>327</v>
      </c>
      <c r="D344" s="153" t="s">
        <v>328</v>
      </c>
      <c r="E344" s="153" t="s">
        <v>383</v>
      </c>
      <c r="F344" s="153" t="s">
        <v>337</v>
      </c>
      <c r="G344" s="153" t="s">
        <v>504</v>
      </c>
      <c r="H344" s="153" t="s">
        <v>332</v>
      </c>
      <c r="I344" s="153" t="s">
        <v>329</v>
      </c>
      <c r="J344" s="153" t="s">
        <v>334</v>
      </c>
      <c r="K344" s="153" t="s">
        <v>335</v>
      </c>
    </row>
    <row r="345" spans="1:11" ht="15.75" customHeight="1" x14ac:dyDescent="0.25">
      <c r="A345" s="153">
        <v>344</v>
      </c>
      <c r="B345" s="153" t="s">
        <v>682</v>
      </c>
      <c r="C345" s="153" t="s">
        <v>327</v>
      </c>
      <c r="D345" s="153" t="s">
        <v>332</v>
      </c>
      <c r="E345" s="153" t="s">
        <v>383</v>
      </c>
      <c r="F345" s="153" t="s">
        <v>337</v>
      </c>
      <c r="G345" s="153" t="s">
        <v>504</v>
      </c>
      <c r="H345" s="153" t="s">
        <v>331</v>
      </c>
      <c r="I345" s="153" t="s">
        <v>333</v>
      </c>
      <c r="J345" s="153" t="s">
        <v>334</v>
      </c>
      <c r="K345" s="153" t="s">
        <v>335</v>
      </c>
    </row>
    <row r="346" spans="1:11" ht="15.75" customHeight="1" x14ac:dyDescent="0.25">
      <c r="A346" s="153">
        <v>345</v>
      </c>
      <c r="B346" s="153" t="s">
        <v>683</v>
      </c>
      <c r="C346" s="153" t="s">
        <v>331</v>
      </c>
      <c r="D346" s="153" t="s">
        <v>328</v>
      </c>
      <c r="E346" s="153" t="s">
        <v>383</v>
      </c>
      <c r="F346" s="153" t="s">
        <v>337</v>
      </c>
      <c r="G346" s="153" t="s">
        <v>504</v>
      </c>
      <c r="H346" s="153" t="s">
        <v>332</v>
      </c>
      <c r="I346" s="153" t="s">
        <v>333</v>
      </c>
      <c r="J346" s="153" t="s">
        <v>327</v>
      </c>
      <c r="K346" s="153" t="s">
        <v>335</v>
      </c>
    </row>
    <row r="347" spans="1:11" ht="15.75" customHeight="1" x14ac:dyDescent="0.25">
      <c r="A347" s="153">
        <v>346</v>
      </c>
      <c r="B347" s="153" t="s">
        <v>684</v>
      </c>
      <c r="C347" s="153" t="s">
        <v>331</v>
      </c>
      <c r="D347" s="153" t="s">
        <v>328</v>
      </c>
      <c r="E347" s="153" t="s">
        <v>383</v>
      </c>
      <c r="F347" s="153" t="s">
        <v>337</v>
      </c>
      <c r="G347" s="153" t="s">
        <v>504</v>
      </c>
      <c r="H347" s="153" t="s">
        <v>332</v>
      </c>
      <c r="I347" s="153" t="s">
        <v>327</v>
      </c>
      <c r="J347" s="153" t="s">
        <v>334</v>
      </c>
      <c r="K347" s="153" t="s">
        <v>335</v>
      </c>
    </row>
    <row r="348" spans="1:11" ht="15.75" customHeight="1" x14ac:dyDescent="0.25">
      <c r="A348" s="153">
        <v>347</v>
      </c>
      <c r="B348" s="153" t="s">
        <v>685</v>
      </c>
      <c r="C348" s="153" t="s">
        <v>327</v>
      </c>
      <c r="D348" s="153" t="s">
        <v>332</v>
      </c>
      <c r="E348" s="153" t="s">
        <v>383</v>
      </c>
      <c r="F348" s="153" t="s">
        <v>337</v>
      </c>
      <c r="G348" s="153" t="s">
        <v>504</v>
      </c>
      <c r="H348" s="153" t="s">
        <v>331</v>
      </c>
      <c r="I348" s="153" t="s">
        <v>333</v>
      </c>
      <c r="J348" s="153" t="s">
        <v>329</v>
      </c>
      <c r="K348" s="153" t="s">
        <v>335</v>
      </c>
    </row>
    <row r="349" spans="1:11" ht="15.75" customHeight="1" x14ac:dyDescent="0.25">
      <c r="A349" s="153">
        <v>348</v>
      </c>
      <c r="B349" s="153" t="s">
        <v>686</v>
      </c>
      <c r="C349" s="153" t="s">
        <v>327</v>
      </c>
      <c r="D349" s="153" t="s">
        <v>332</v>
      </c>
      <c r="E349" s="153" t="s">
        <v>383</v>
      </c>
      <c r="F349" s="153" t="s">
        <v>337</v>
      </c>
      <c r="G349" s="153" t="s">
        <v>504</v>
      </c>
      <c r="H349" s="153" t="s">
        <v>331</v>
      </c>
      <c r="I349" s="153" t="s">
        <v>329</v>
      </c>
      <c r="J349" s="153" t="s">
        <v>334</v>
      </c>
      <c r="K349" s="153" t="s">
        <v>335</v>
      </c>
    </row>
    <row r="350" spans="1:11" ht="15.75" customHeight="1" x14ac:dyDescent="0.25">
      <c r="A350" s="153">
        <v>349</v>
      </c>
      <c r="B350" s="153" t="s">
        <v>687</v>
      </c>
      <c r="C350" s="153" t="s">
        <v>331</v>
      </c>
      <c r="D350" s="153" t="s">
        <v>328</v>
      </c>
      <c r="E350" s="153" t="s">
        <v>383</v>
      </c>
      <c r="F350" s="153" t="s">
        <v>337</v>
      </c>
      <c r="G350" s="153" t="s">
        <v>504</v>
      </c>
      <c r="H350" s="153" t="s">
        <v>332</v>
      </c>
      <c r="I350" s="153" t="s">
        <v>327</v>
      </c>
      <c r="J350" s="153" t="s">
        <v>329</v>
      </c>
      <c r="K350" s="153" t="s">
        <v>335</v>
      </c>
    </row>
    <row r="351" spans="1:11" ht="15.75" customHeight="1" x14ac:dyDescent="0.25">
      <c r="A351" s="153">
        <v>350</v>
      </c>
      <c r="B351" s="153" t="s">
        <v>688</v>
      </c>
      <c r="C351" s="153" t="s">
        <v>327</v>
      </c>
      <c r="D351" s="153" t="s">
        <v>328</v>
      </c>
      <c r="E351" s="153" t="s">
        <v>383</v>
      </c>
      <c r="F351" s="153" t="s">
        <v>337</v>
      </c>
      <c r="G351" s="153" t="s">
        <v>504</v>
      </c>
      <c r="H351" s="153" t="s">
        <v>330</v>
      </c>
      <c r="I351" s="153" t="s">
        <v>333</v>
      </c>
      <c r="J351" s="153" t="s">
        <v>334</v>
      </c>
      <c r="K351" s="153" t="s">
        <v>335</v>
      </c>
    </row>
    <row r="352" spans="1:11" ht="15.75" customHeight="1" x14ac:dyDescent="0.25">
      <c r="A352" s="153">
        <v>351</v>
      </c>
      <c r="B352" s="153" t="s">
        <v>689</v>
      </c>
      <c r="C352" s="153" t="s">
        <v>327</v>
      </c>
      <c r="D352" s="153" t="s">
        <v>329</v>
      </c>
      <c r="E352" s="153" t="s">
        <v>383</v>
      </c>
      <c r="F352" s="153" t="s">
        <v>337</v>
      </c>
      <c r="G352" s="153" t="s">
        <v>504</v>
      </c>
      <c r="H352" s="153" t="s">
        <v>330</v>
      </c>
      <c r="I352" s="153" t="s">
        <v>333</v>
      </c>
      <c r="J352" s="153" t="s">
        <v>334</v>
      </c>
      <c r="K352" s="153" t="s">
        <v>335</v>
      </c>
    </row>
    <row r="353" spans="1:11" ht="15.75" customHeight="1" x14ac:dyDescent="0.25">
      <c r="A353" s="153">
        <v>352</v>
      </c>
      <c r="B353" s="153" t="s">
        <v>690</v>
      </c>
      <c r="C353" s="153" t="s">
        <v>327</v>
      </c>
      <c r="D353" s="153" t="s">
        <v>328</v>
      </c>
      <c r="E353" s="153" t="s">
        <v>383</v>
      </c>
      <c r="F353" s="153" t="s">
        <v>337</v>
      </c>
      <c r="G353" s="153" t="s">
        <v>504</v>
      </c>
      <c r="H353" s="153" t="s">
        <v>330</v>
      </c>
      <c r="I353" s="153" t="s">
        <v>333</v>
      </c>
      <c r="J353" s="153" t="s">
        <v>329</v>
      </c>
      <c r="K353" s="153" t="s">
        <v>335</v>
      </c>
    </row>
    <row r="354" spans="1:11" ht="15.75" customHeight="1" x14ac:dyDescent="0.25">
      <c r="A354" s="153">
        <v>353</v>
      </c>
      <c r="B354" s="153" t="s">
        <v>691</v>
      </c>
      <c r="C354" s="153" t="s">
        <v>327</v>
      </c>
      <c r="D354" s="153" t="s">
        <v>328</v>
      </c>
      <c r="E354" s="153" t="s">
        <v>383</v>
      </c>
      <c r="F354" s="153" t="s">
        <v>337</v>
      </c>
      <c r="G354" s="153" t="s">
        <v>504</v>
      </c>
      <c r="H354" s="153" t="s">
        <v>330</v>
      </c>
      <c r="I354" s="153" t="s">
        <v>329</v>
      </c>
      <c r="J354" s="153" t="s">
        <v>334</v>
      </c>
      <c r="K354" s="153" t="s">
        <v>335</v>
      </c>
    </row>
    <row r="355" spans="1:11" ht="15.75" customHeight="1" x14ac:dyDescent="0.25">
      <c r="A355" s="153">
        <v>354</v>
      </c>
      <c r="B355" s="153" t="s">
        <v>692</v>
      </c>
      <c r="C355" s="153" t="s">
        <v>331</v>
      </c>
      <c r="D355" s="153" t="s">
        <v>327</v>
      </c>
      <c r="E355" s="153" t="s">
        <v>383</v>
      </c>
      <c r="F355" s="153" t="s">
        <v>337</v>
      </c>
      <c r="G355" s="153" t="s">
        <v>504</v>
      </c>
      <c r="H355" s="153" t="s">
        <v>330</v>
      </c>
      <c r="I355" s="153" t="s">
        <v>333</v>
      </c>
      <c r="J355" s="153" t="s">
        <v>334</v>
      </c>
      <c r="K355" s="153" t="s">
        <v>335</v>
      </c>
    </row>
    <row r="356" spans="1:11" ht="15.75" customHeight="1" x14ac:dyDescent="0.25">
      <c r="A356" s="153">
        <v>355</v>
      </c>
      <c r="B356" s="153" t="s">
        <v>693</v>
      </c>
      <c r="C356" s="153" t="s">
        <v>331</v>
      </c>
      <c r="D356" s="153" t="s">
        <v>328</v>
      </c>
      <c r="E356" s="153" t="s">
        <v>383</v>
      </c>
      <c r="F356" s="153" t="s">
        <v>337</v>
      </c>
      <c r="G356" s="153" t="s">
        <v>504</v>
      </c>
      <c r="H356" s="153" t="s">
        <v>330</v>
      </c>
      <c r="I356" s="153" t="s">
        <v>333</v>
      </c>
      <c r="J356" s="153" t="s">
        <v>327</v>
      </c>
      <c r="K356" s="153" t="s">
        <v>335</v>
      </c>
    </row>
    <row r="357" spans="1:11" ht="15.75" customHeight="1" x14ac:dyDescent="0.25">
      <c r="A357" s="153">
        <v>356</v>
      </c>
      <c r="B357" s="153" t="s">
        <v>694</v>
      </c>
      <c r="C357" s="153" t="s">
        <v>331</v>
      </c>
      <c r="D357" s="153" t="s">
        <v>328</v>
      </c>
      <c r="E357" s="153" t="s">
        <v>383</v>
      </c>
      <c r="F357" s="153" t="s">
        <v>337</v>
      </c>
      <c r="G357" s="153" t="s">
        <v>504</v>
      </c>
      <c r="H357" s="153" t="s">
        <v>330</v>
      </c>
      <c r="I357" s="153" t="s">
        <v>327</v>
      </c>
      <c r="J357" s="153" t="s">
        <v>334</v>
      </c>
      <c r="K357" s="153" t="s">
        <v>335</v>
      </c>
    </row>
    <row r="358" spans="1:11" ht="15.75" customHeight="1" x14ac:dyDescent="0.25">
      <c r="A358" s="153">
        <v>357</v>
      </c>
      <c r="B358" s="153" t="s">
        <v>695</v>
      </c>
      <c r="C358" s="153" t="s">
        <v>331</v>
      </c>
      <c r="D358" s="153" t="s">
        <v>327</v>
      </c>
      <c r="E358" s="153" t="s">
        <v>383</v>
      </c>
      <c r="F358" s="153" t="s">
        <v>337</v>
      </c>
      <c r="G358" s="153" t="s">
        <v>504</v>
      </c>
      <c r="H358" s="153" t="s">
        <v>330</v>
      </c>
      <c r="I358" s="153" t="s">
        <v>333</v>
      </c>
      <c r="J358" s="153" t="s">
        <v>329</v>
      </c>
      <c r="K358" s="153" t="s">
        <v>335</v>
      </c>
    </row>
    <row r="359" spans="1:11" ht="15.75" customHeight="1" x14ac:dyDescent="0.25">
      <c r="A359" s="153">
        <v>358</v>
      </c>
      <c r="B359" s="153" t="s">
        <v>696</v>
      </c>
      <c r="C359" s="153" t="s">
        <v>331</v>
      </c>
      <c r="D359" s="153" t="s">
        <v>327</v>
      </c>
      <c r="E359" s="153" t="s">
        <v>383</v>
      </c>
      <c r="F359" s="153" t="s">
        <v>337</v>
      </c>
      <c r="G359" s="153" t="s">
        <v>504</v>
      </c>
      <c r="H359" s="153" t="s">
        <v>330</v>
      </c>
      <c r="I359" s="153" t="s">
        <v>329</v>
      </c>
      <c r="J359" s="153" t="s">
        <v>334</v>
      </c>
      <c r="K359" s="153" t="s">
        <v>335</v>
      </c>
    </row>
    <row r="360" spans="1:11" ht="15.75" customHeight="1" x14ac:dyDescent="0.25">
      <c r="A360" s="153">
        <v>359</v>
      </c>
      <c r="B360" s="153" t="s">
        <v>697</v>
      </c>
      <c r="C360" s="153" t="s">
        <v>331</v>
      </c>
      <c r="D360" s="153" t="s">
        <v>328</v>
      </c>
      <c r="E360" s="153" t="s">
        <v>383</v>
      </c>
      <c r="F360" s="153" t="s">
        <v>337</v>
      </c>
      <c r="G360" s="153" t="s">
        <v>504</v>
      </c>
      <c r="H360" s="153" t="s">
        <v>330</v>
      </c>
      <c r="I360" s="153" t="s">
        <v>327</v>
      </c>
      <c r="J360" s="153" t="s">
        <v>329</v>
      </c>
      <c r="K360" s="153" t="s">
        <v>335</v>
      </c>
    </row>
    <row r="361" spans="1:11" ht="15.75" customHeight="1" x14ac:dyDescent="0.25">
      <c r="A361" s="153">
        <v>360</v>
      </c>
      <c r="B361" s="153" t="s">
        <v>698</v>
      </c>
      <c r="C361" s="153" t="s">
        <v>327</v>
      </c>
      <c r="D361" s="153" t="s">
        <v>332</v>
      </c>
      <c r="E361" s="153" t="s">
        <v>383</v>
      </c>
      <c r="F361" s="153" t="s">
        <v>337</v>
      </c>
      <c r="G361" s="153" t="s">
        <v>504</v>
      </c>
      <c r="H361" s="153" t="s">
        <v>330</v>
      </c>
      <c r="I361" s="153" t="s">
        <v>333</v>
      </c>
      <c r="J361" s="153" t="s">
        <v>334</v>
      </c>
      <c r="K361" s="153" t="s">
        <v>335</v>
      </c>
    </row>
    <row r="362" spans="1:11" ht="15.75" customHeight="1" x14ac:dyDescent="0.25">
      <c r="A362" s="153">
        <v>361</v>
      </c>
      <c r="B362" s="153" t="s">
        <v>699</v>
      </c>
      <c r="C362" s="153" t="s">
        <v>327</v>
      </c>
      <c r="D362" s="153" t="s">
        <v>332</v>
      </c>
      <c r="E362" s="153" t="s">
        <v>383</v>
      </c>
      <c r="F362" s="153" t="s">
        <v>337</v>
      </c>
      <c r="G362" s="153" t="s">
        <v>504</v>
      </c>
      <c r="H362" s="153" t="s">
        <v>330</v>
      </c>
      <c r="I362" s="153" t="s">
        <v>333</v>
      </c>
      <c r="J362" s="153" t="s">
        <v>328</v>
      </c>
      <c r="K362" s="153" t="s">
        <v>335</v>
      </c>
    </row>
    <row r="363" spans="1:11" ht="15.75" customHeight="1" x14ac:dyDescent="0.25">
      <c r="A363" s="153">
        <v>362</v>
      </c>
      <c r="B363" s="153" t="s">
        <v>700</v>
      </c>
      <c r="C363" s="153" t="s">
        <v>327</v>
      </c>
      <c r="D363" s="153" t="s">
        <v>332</v>
      </c>
      <c r="E363" s="153" t="s">
        <v>383</v>
      </c>
      <c r="F363" s="153" t="s">
        <v>337</v>
      </c>
      <c r="G363" s="153" t="s">
        <v>504</v>
      </c>
      <c r="H363" s="153" t="s">
        <v>330</v>
      </c>
      <c r="I363" s="153" t="s">
        <v>328</v>
      </c>
      <c r="J363" s="153" t="s">
        <v>334</v>
      </c>
      <c r="K363" s="153" t="s">
        <v>335</v>
      </c>
    </row>
    <row r="364" spans="1:11" ht="15.75" customHeight="1" x14ac:dyDescent="0.25">
      <c r="A364" s="153">
        <v>363</v>
      </c>
      <c r="B364" s="153" t="s">
        <v>701</v>
      </c>
      <c r="C364" s="153" t="s">
        <v>327</v>
      </c>
      <c r="D364" s="153" t="s">
        <v>332</v>
      </c>
      <c r="E364" s="153" t="s">
        <v>383</v>
      </c>
      <c r="F364" s="153" t="s">
        <v>337</v>
      </c>
      <c r="G364" s="153" t="s">
        <v>504</v>
      </c>
      <c r="H364" s="153" t="s">
        <v>330</v>
      </c>
      <c r="I364" s="153" t="s">
        <v>333</v>
      </c>
      <c r="J364" s="153" t="s">
        <v>329</v>
      </c>
      <c r="K364" s="153" t="s">
        <v>335</v>
      </c>
    </row>
    <row r="365" spans="1:11" ht="15.75" customHeight="1" x14ac:dyDescent="0.25">
      <c r="A365" s="153">
        <v>364</v>
      </c>
      <c r="B365" s="153" t="s">
        <v>702</v>
      </c>
      <c r="C365" s="153" t="s">
        <v>327</v>
      </c>
      <c r="D365" s="153" t="s">
        <v>332</v>
      </c>
      <c r="E365" s="153" t="s">
        <v>383</v>
      </c>
      <c r="F365" s="153" t="s">
        <v>337</v>
      </c>
      <c r="G365" s="153" t="s">
        <v>504</v>
      </c>
      <c r="H365" s="153" t="s">
        <v>330</v>
      </c>
      <c r="I365" s="153" t="s">
        <v>329</v>
      </c>
      <c r="J365" s="153" t="s">
        <v>334</v>
      </c>
      <c r="K365" s="153" t="s">
        <v>335</v>
      </c>
    </row>
    <row r="366" spans="1:11" ht="15.75" customHeight="1" x14ac:dyDescent="0.25">
      <c r="A366" s="153">
        <v>365</v>
      </c>
      <c r="B366" s="153" t="s">
        <v>703</v>
      </c>
      <c r="C366" s="153" t="s">
        <v>327</v>
      </c>
      <c r="D366" s="153" t="s">
        <v>332</v>
      </c>
      <c r="E366" s="153" t="s">
        <v>383</v>
      </c>
      <c r="F366" s="153" t="s">
        <v>337</v>
      </c>
      <c r="G366" s="153" t="s">
        <v>504</v>
      </c>
      <c r="H366" s="153" t="s">
        <v>330</v>
      </c>
      <c r="I366" s="153" t="s">
        <v>329</v>
      </c>
      <c r="J366" s="153" t="s">
        <v>328</v>
      </c>
      <c r="K366" s="153" t="s">
        <v>335</v>
      </c>
    </row>
    <row r="367" spans="1:11" ht="15.75" customHeight="1" x14ac:dyDescent="0.25">
      <c r="A367" s="153">
        <v>366</v>
      </c>
      <c r="B367" s="153" t="s">
        <v>704</v>
      </c>
      <c r="C367" s="153" t="s">
        <v>331</v>
      </c>
      <c r="D367" s="153" t="s">
        <v>332</v>
      </c>
      <c r="E367" s="153" t="s">
        <v>383</v>
      </c>
      <c r="F367" s="153" t="s">
        <v>337</v>
      </c>
      <c r="G367" s="153" t="s">
        <v>504</v>
      </c>
      <c r="H367" s="153" t="s">
        <v>330</v>
      </c>
      <c r="I367" s="153" t="s">
        <v>333</v>
      </c>
      <c r="J367" s="153" t="s">
        <v>327</v>
      </c>
      <c r="K367" s="153" t="s">
        <v>335</v>
      </c>
    </row>
    <row r="368" spans="1:11" ht="15.75" customHeight="1" x14ac:dyDescent="0.25">
      <c r="A368" s="153">
        <v>367</v>
      </c>
      <c r="B368" s="153" t="s">
        <v>705</v>
      </c>
      <c r="C368" s="153" t="s">
        <v>331</v>
      </c>
      <c r="D368" s="153" t="s">
        <v>332</v>
      </c>
      <c r="E368" s="153" t="s">
        <v>383</v>
      </c>
      <c r="F368" s="153" t="s">
        <v>337</v>
      </c>
      <c r="G368" s="153" t="s">
        <v>504</v>
      </c>
      <c r="H368" s="153" t="s">
        <v>330</v>
      </c>
      <c r="I368" s="153" t="s">
        <v>327</v>
      </c>
      <c r="J368" s="153" t="s">
        <v>334</v>
      </c>
      <c r="K368" s="153" t="s">
        <v>335</v>
      </c>
    </row>
    <row r="369" spans="1:11" ht="15.75" customHeight="1" x14ac:dyDescent="0.25">
      <c r="A369" s="153">
        <v>368</v>
      </c>
      <c r="B369" s="153" t="s">
        <v>706</v>
      </c>
      <c r="C369" s="153" t="s">
        <v>331</v>
      </c>
      <c r="D369" s="153" t="s">
        <v>332</v>
      </c>
      <c r="E369" s="153" t="s">
        <v>383</v>
      </c>
      <c r="F369" s="153" t="s">
        <v>337</v>
      </c>
      <c r="G369" s="153" t="s">
        <v>504</v>
      </c>
      <c r="H369" s="153" t="s">
        <v>330</v>
      </c>
      <c r="I369" s="153" t="s">
        <v>327</v>
      </c>
      <c r="J369" s="153" t="s">
        <v>328</v>
      </c>
      <c r="K369" s="153" t="s">
        <v>335</v>
      </c>
    </row>
    <row r="370" spans="1:11" ht="15.75" customHeight="1" x14ac:dyDescent="0.25">
      <c r="A370" s="153">
        <v>369</v>
      </c>
      <c r="B370" s="153" t="s">
        <v>707</v>
      </c>
      <c r="C370" s="153" t="s">
        <v>331</v>
      </c>
      <c r="D370" s="153" t="s">
        <v>332</v>
      </c>
      <c r="E370" s="153" t="s">
        <v>383</v>
      </c>
      <c r="F370" s="153" t="s">
        <v>337</v>
      </c>
      <c r="G370" s="153" t="s">
        <v>504</v>
      </c>
      <c r="H370" s="153" t="s">
        <v>330</v>
      </c>
      <c r="I370" s="153" t="s">
        <v>327</v>
      </c>
      <c r="J370" s="153" t="s">
        <v>329</v>
      </c>
      <c r="K370" s="153" t="s">
        <v>335</v>
      </c>
    </row>
    <row r="371" spans="1:11" ht="15.75" customHeight="1" x14ac:dyDescent="0.25">
      <c r="A371" s="153">
        <v>370</v>
      </c>
      <c r="B371" s="153" t="s">
        <v>708</v>
      </c>
      <c r="C371" s="153" t="s">
        <v>329</v>
      </c>
      <c r="D371" s="153" t="s">
        <v>328</v>
      </c>
      <c r="E371" s="153" t="s">
        <v>383</v>
      </c>
      <c r="F371" s="153" t="s">
        <v>346</v>
      </c>
      <c r="G371" s="153" t="s">
        <v>504</v>
      </c>
      <c r="H371" s="153" t="s">
        <v>331</v>
      </c>
      <c r="I371" s="153" t="s">
        <v>333</v>
      </c>
      <c r="J371" s="153" t="s">
        <v>334</v>
      </c>
      <c r="K371" s="153" t="s">
        <v>335</v>
      </c>
    </row>
    <row r="372" spans="1:11" ht="15.75" customHeight="1" x14ac:dyDescent="0.25">
      <c r="A372" s="153">
        <v>371</v>
      </c>
      <c r="B372" s="153" t="s">
        <v>709</v>
      </c>
      <c r="C372" s="153" t="s">
        <v>329</v>
      </c>
      <c r="D372" s="153" t="s">
        <v>328</v>
      </c>
      <c r="E372" s="153" t="s">
        <v>383</v>
      </c>
      <c r="F372" s="153" t="s">
        <v>346</v>
      </c>
      <c r="G372" s="153" t="s">
        <v>504</v>
      </c>
      <c r="H372" s="153" t="s">
        <v>332</v>
      </c>
      <c r="I372" s="153" t="s">
        <v>333</v>
      </c>
      <c r="J372" s="153" t="s">
        <v>334</v>
      </c>
      <c r="K372" s="153" t="s">
        <v>335</v>
      </c>
    </row>
    <row r="373" spans="1:11" ht="15.75" customHeight="1" x14ac:dyDescent="0.25">
      <c r="A373" s="153">
        <v>372</v>
      </c>
      <c r="B373" s="153" t="s">
        <v>710</v>
      </c>
      <c r="C373" s="153" t="s">
        <v>331</v>
      </c>
      <c r="D373" s="153" t="s">
        <v>328</v>
      </c>
      <c r="E373" s="153" t="s">
        <v>383</v>
      </c>
      <c r="F373" s="153" t="s">
        <v>346</v>
      </c>
      <c r="G373" s="153" t="s">
        <v>504</v>
      </c>
      <c r="H373" s="153" t="s">
        <v>332</v>
      </c>
      <c r="I373" s="153" t="s">
        <v>333</v>
      </c>
      <c r="J373" s="153" t="s">
        <v>334</v>
      </c>
      <c r="K373" s="153" t="s">
        <v>335</v>
      </c>
    </row>
    <row r="374" spans="1:11" ht="15.75" customHeight="1" x14ac:dyDescent="0.25">
      <c r="A374" s="153">
        <v>373</v>
      </c>
      <c r="B374" s="153" t="s">
        <v>711</v>
      </c>
      <c r="C374" s="153" t="s">
        <v>329</v>
      </c>
      <c r="D374" s="153" t="s">
        <v>332</v>
      </c>
      <c r="E374" s="153" t="s">
        <v>383</v>
      </c>
      <c r="F374" s="153" t="s">
        <v>346</v>
      </c>
      <c r="G374" s="153" t="s">
        <v>504</v>
      </c>
      <c r="H374" s="153" t="s">
        <v>331</v>
      </c>
      <c r="I374" s="153" t="s">
        <v>333</v>
      </c>
      <c r="J374" s="153" t="s">
        <v>334</v>
      </c>
      <c r="K374" s="153" t="s">
        <v>335</v>
      </c>
    </row>
    <row r="375" spans="1:11" ht="15.75" customHeight="1" x14ac:dyDescent="0.25">
      <c r="A375" s="153">
        <v>374</v>
      </c>
      <c r="B375" s="153" t="s">
        <v>712</v>
      </c>
      <c r="C375" s="153" t="s">
        <v>331</v>
      </c>
      <c r="D375" s="153" t="s">
        <v>328</v>
      </c>
      <c r="E375" s="153" t="s">
        <v>383</v>
      </c>
      <c r="F375" s="153" t="s">
        <v>346</v>
      </c>
      <c r="G375" s="153" t="s">
        <v>504</v>
      </c>
      <c r="H375" s="153" t="s">
        <v>332</v>
      </c>
      <c r="I375" s="153" t="s">
        <v>333</v>
      </c>
      <c r="J375" s="153" t="s">
        <v>329</v>
      </c>
      <c r="K375" s="153" t="s">
        <v>335</v>
      </c>
    </row>
    <row r="376" spans="1:11" ht="15.75" customHeight="1" x14ac:dyDescent="0.25">
      <c r="A376" s="153">
        <v>375</v>
      </c>
      <c r="B376" s="153" t="s">
        <v>713</v>
      </c>
      <c r="C376" s="153" t="s">
        <v>331</v>
      </c>
      <c r="D376" s="153" t="s">
        <v>328</v>
      </c>
      <c r="E376" s="153" t="s">
        <v>383</v>
      </c>
      <c r="F376" s="153" t="s">
        <v>346</v>
      </c>
      <c r="G376" s="153" t="s">
        <v>504</v>
      </c>
      <c r="H376" s="153" t="s">
        <v>332</v>
      </c>
      <c r="I376" s="153" t="s">
        <v>329</v>
      </c>
      <c r="J376" s="153" t="s">
        <v>334</v>
      </c>
      <c r="K376" s="153" t="s">
        <v>335</v>
      </c>
    </row>
    <row r="377" spans="1:11" ht="15.75" customHeight="1" x14ac:dyDescent="0.25">
      <c r="A377" s="153">
        <v>376</v>
      </c>
      <c r="B377" s="153" t="s">
        <v>714</v>
      </c>
      <c r="C377" s="153" t="s">
        <v>329</v>
      </c>
      <c r="D377" s="153" t="s">
        <v>328</v>
      </c>
      <c r="E377" s="153" t="s">
        <v>383</v>
      </c>
      <c r="F377" s="153" t="s">
        <v>346</v>
      </c>
      <c r="G377" s="153" t="s">
        <v>504</v>
      </c>
      <c r="H377" s="153" t="s">
        <v>330</v>
      </c>
      <c r="I377" s="153" t="s">
        <v>333</v>
      </c>
      <c r="J377" s="153" t="s">
        <v>334</v>
      </c>
      <c r="K377" s="153" t="s">
        <v>335</v>
      </c>
    </row>
    <row r="378" spans="1:11" ht="15.75" customHeight="1" x14ac:dyDescent="0.25">
      <c r="A378" s="153">
        <v>377</v>
      </c>
      <c r="B378" s="153" t="s">
        <v>715</v>
      </c>
      <c r="C378" s="153" t="s">
        <v>331</v>
      </c>
      <c r="D378" s="153" t="s">
        <v>328</v>
      </c>
      <c r="E378" s="153" t="s">
        <v>383</v>
      </c>
      <c r="F378" s="153" t="s">
        <v>346</v>
      </c>
      <c r="G378" s="153" t="s">
        <v>504</v>
      </c>
      <c r="H378" s="153" t="s">
        <v>330</v>
      </c>
      <c r="I378" s="153" t="s">
        <v>333</v>
      </c>
      <c r="J378" s="153" t="s">
        <v>334</v>
      </c>
      <c r="K378" s="153" t="s">
        <v>335</v>
      </c>
    </row>
    <row r="379" spans="1:11" ht="15.75" customHeight="1" x14ac:dyDescent="0.25">
      <c r="A379" s="153">
        <v>378</v>
      </c>
      <c r="B379" s="153" t="s">
        <v>716</v>
      </c>
      <c r="C379" s="153" t="s">
        <v>331</v>
      </c>
      <c r="D379" s="153" t="s">
        <v>329</v>
      </c>
      <c r="E379" s="153" t="s">
        <v>383</v>
      </c>
      <c r="F379" s="153" t="s">
        <v>346</v>
      </c>
      <c r="G379" s="153" t="s">
        <v>504</v>
      </c>
      <c r="H379" s="153" t="s">
        <v>330</v>
      </c>
      <c r="I379" s="153" t="s">
        <v>333</v>
      </c>
      <c r="J379" s="153" t="s">
        <v>334</v>
      </c>
      <c r="K379" s="153" t="s">
        <v>335</v>
      </c>
    </row>
    <row r="380" spans="1:11" ht="15.75" customHeight="1" x14ac:dyDescent="0.25">
      <c r="A380" s="153">
        <v>379</v>
      </c>
      <c r="B380" s="153" t="s">
        <v>717</v>
      </c>
      <c r="C380" s="153" t="s">
        <v>331</v>
      </c>
      <c r="D380" s="153" t="s">
        <v>328</v>
      </c>
      <c r="E380" s="153" t="s">
        <v>383</v>
      </c>
      <c r="F380" s="153" t="s">
        <v>346</v>
      </c>
      <c r="G380" s="153" t="s">
        <v>504</v>
      </c>
      <c r="H380" s="153" t="s">
        <v>330</v>
      </c>
      <c r="I380" s="153" t="s">
        <v>333</v>
      </c>
      <c r="J380" s="153" t="s">
        <v>329</v>
      </c>
      <c r="K380" s="153" t="s">
        <v>335</v>
      </c>
    </row>
    <row r="381" spans="1:11" ht="15.75" customHeight="1" x14ac:dyDescent="0.25">
      <c r="A381" s="153">
        <v>380</v>
      </c>
      <c r="B381" s="153" t="s">
        <v>718</v>
      </c>
      <c r="C381" s="153" t="s">
        <v>331</v>
      </c>
      <c r="D381" s="153" t="s">
        <v>328</v>
      </c>
      <c r="E381" s="153" t="s">
        <v>383</v>
      </c>
      <c r="F381" s="153" t="s">
        <v>346</v>
      </c>
      <c r="G381" s="153" t="s">
        <v>504</v>
      </c>
      <c r="H381" s="153" t="s">
        <v>330</v>
      </c>
      <c r="I381" s="153" t="s">
        <v>329</v>
      </c>
      <c r="J381" s="153" t="s">
        <v>334</v>
      </c>
      <c r="K381" s="153" t="s">
        <v>335</v>
      </c>
    </row>
    <row r="382" spans="1:11" ht="15.75" customHeight="1" x14ac:dyDescent="0.25">
      <c r="A382" s="153">
        <v>381</v>
      </c>
      <c r="B382" s="153" t="s">
        <v>719</v>
      </c>
      <c r="C382" s="153" t="s">
        <v>346</v>
      </c>
      <c r="D382" s="153" t="s">
        <v>328</v>
      </c>
      <c r="E382" s="153" t="s">
        <v>383</v>
      </c>
      <c r="F382" s="153" t="s">
        <v>330</v>
      </c>
      <c r="G382" s="153" t="s">
        <v>504</v>
      </c>
      <c r="H382" s="153" t="s">
        <v>332</v>
      </c>
      <c r="I382" s="153" t="s">
        <v>333</v>
      </c>
      <c r="J382" s="153" t="s">
        <v>334</v>
      </c>
      <c r="K382" s="153" t="s">
        <v>335</v>
      </c>
    </row>
    <row r="383" spans="1:11" ht="15.75" customHeight="1" x14ac:dyDescent="0.25">
      <c r="A383" s="153">
        <v>382</v>
      </c>
      <c r="B383" s="153" t="s">
        <v>720</v>
      </c>
      <c r="C383" s="153" t="s">
        <v>329</v>
      </c>
      <c r="D383" s="153" t="s">
        <v>332</v>
      </c>
      <c r="E383" s="153" t="s">
        <v>383</v>
      </c>
      <c r="F383" s="153" t="s">
        <v>346</v>
      </c>
      <c r="G383" s="153" t="s">
        <v>504</v>
      </c>
      <c r="H383" s="153" t="s">
        <v>330</v>
      </c>
      <c r="I383" s="153" t="s">
        <v>333</v>
      </c>
      <c r="J383" s="153" t="s">
        <v>334</v>
      </c>
      <c r="K383" s="153" t="s">
        <v>335</v>
      </c>
    </row>
    <row r="384" spans="1:11" ht="15.75" customHeight="1" x14ac:dyDescent="0.25">
      <c r="A384" s="153">
        <v>383</v>
      </c>
      <c r="B384" s="153" t="s">
        <v>721</v>
      </c>
      <c r="C384" s="153" t="s">
        <v>346</v>
      </c>
      <c r="D384" s="153" t="s">
        <v>328</v>
      </c>
      <c r="E384" s="153" t="s">
        <v>383</v>
      </c>
      <c r="F384" s="153" t="s">
        <v>330</v>
      </c>
      <c r="G384" s="153" t="s">
        <v>504</v>
      </c>
      <c r="H384" s="153" t="s">
        <v>332</v>
      </c>
      <c r="I384" s="153" t="s">
        <v>333</v>
      </c>
      <c r="J384" s="153" t="s">
        <v>329</v>
      </c>
      <c r="K384" s="153" t="s">
        <v>335</v>
      </c>
    </row>
    <row r="385" spans="1:11" ht="15.75" customHeight="1" x14ac:dyDescent="0.25">
      <c r="A385" s="153">
        <v>384</v>
      </c>
      <c r="B385" s="153" t="s">
        <v>722</v>
      </c>
      <c r="C385" s="153" t="s">
        <v>346</v>
      </c>
      <c r="D385" s="153" t="s">
        <v>328</v>
      </c>
      <c r="E385" s="153" t="s">
        <v>383</v>
      </c>
      <c r="F385" s="153" t="s">
        <v>330</v>
      </c>
      <c r="G385" s="153" t="s">
        <v>504</v>
      </c>
      <c r="H385" s="153" t="s">
        <v>332</v>
      </c>
      <c r="I385" s="153" t="s">
        <v>329</v>
      </c>
      <c r="J385" s="153" t="s">
        <v>334</v>
      </c>
      <c r="K385" s="153" t="s">
        <v>335</v>
      </c>
    </row>
    <row r="386" spans="1:11" ht="15.75" customHeight="1" x14ac:dyDescent="0.25">
      <c r="A386" s="153">
        <v>385</v>
      </c>
      <c r="B386" s="153" t="s">
        <v>723</v>
      </c>
      <c r="C386" s="153" t="s">
        <v>331</v>
      </c>
      <c r="D386" s="153" t="s">
        <v>332</v>
      </c>
      <c r="E386" s="153" t="s">
        <v>383</v>
      </c>
      <c r="F386" s="153" t="s">
        <v>346</v>
      </c>
      <c r="G386" s="153" t="s">
        <v>504</v>
      </c>
      <c r="H386" s="153" t="s">
        <v>330</v>
      </c>
      <c r="I386" s="153" t="s">
        <v>333</v>
      </c>
      <c r="J386" s="153" t="s">
        <v>334</v>
      </c>
      <c r="K386" s="153" t="s">
        <v>335</v>
      </c>
    </row>
    <row r="387" spans="1:11" ht="15.75" customHeight="1" x14ac:dyDescent="0.25">
      <c r="A387" s="153">
        <v>386</v>
      </c>
      <c r="B387" s="153" t="s">
        <v>724</v>
      </c>
      <c r="C387" s="153" t="s">
        <v>331</v>
      </c>
      <c r="D387" s="153" t="s">
        <v>332</v>
      </c>
      <c r="E387" s="153" t="s">
        <v>383</v>
      </c>
      <c r="F387" s="153" t="s">
        <v>346</v>
      </c>
      <c r="G387" s="153" t="s">
        <v>504</v>
      </c>
      <c r="H387" s="153" t="s">
        <v>330</v>
      </c>
      <c r="I387" s="153" t="s">
        <v>333</v>
      </c>
      <c r="J387" s="153" t="s">
        <v>328</v>
      </c>
      <c r="K387" s="153" t="s">
        <v>335</v>
      </c>
    </row>
    <row r="388" spans="1:11" ht="15.75" customHeight="1" x14ac:dyDescent="0.25">
      <c r="A388" s="153">
        <v>387</v>
      </c>
      <c r="B388" s="153" t="s">
        <v>725</v>
      </c>
      <c r="C388" s="153" t="s">
        <v>331</v>
      </c>
      <c r="D388" s="153" t="s">
        <v>332</v>
      </c>
      <c r="E388" s="153" t="s">
        <v>383</v>
      </c>
      <c r="F388" s="153" t="s">
        <v>346</v>
      </c>
      <c r="G388" s="153" t="s">
        <v>504</v>
      </c>
      <c r="H388" s="153" t="s">
        <v>330</v>
      </c>
      <c r="I388" s="153" t="s">
        <v>328</v>
      </c>
      <c r="J388" s="153" t="s">
        <v>334</v>
      </c>
      <c r="K388" s="153" t="s">
        <v>335</v>
      </c>
    </row>
    <row r="389" spans="1:11" ht="15.75" customHeight="1" x14ac:dyDescent="0.25">
      <c r="A389" s="153">
        <v>388</v>
      </c>
      <c r="B389" s="153" t="s">
        <v>726</v>
      </c>
      <c r="C389" s="153" t="s">
        <v>331</v>
      </c>
      <c r="D389" s="153" t="s">
        <v>332</v>
      </c>
      <c r="E389" s="153" t="s">
        <v>383</v>
      </c>
      <c r="F389" s="153" t="s">
        <v>346</v>
      </c>
      <c r="G389" s="153" t="s">
        <v>504</v>
      </c>
      <c r="H389" s="153" t="s">
        <v>330</v>
      </c>
      <c r="I389" s="153" t="s">
        <v>333</v>
      </c>
      <c r="J389" s="153" t="s">
        <v>329</v>
      </c>
      <c r="K389" s="153" t="s">
        <v>335</v>
      </c>
    </row>
    <row r="390" spans="1:11" ht="15.75" customHeight="1" x14ac:dyDescent="0.25">
      <c r="A390" s="153">
        <v>389</v>
      </c>
      <c r="B390" s="153" t="s">
        <v>727</v>
      </c>
      <c r="C390" s="153" t="s">
        <v>331</v>
      </c>
      <c r="D390" s="153" t="s">
        <v>332</v>
      </c>
      <c r="E390" s="153" t="s">
        <v>383</v>
      </c>
      <c r="F390" s="153" t="s">
        <v>346</v>
      </c>
      <c r="G390" s="153" t="s">
        <v>504</v>
      </c>
      <c r="H390" s="153" t="s">
        <v>330</v>
      </c>
      <c r="I390" s="153" t="s">
        <v>329</v>
      </c>
      <c r="J390" s="153" t="s">
        <v>334</v>
      </c>
      <c r="K390" s="153" t="s">
        <v>335</v>
      </c>
    </row>
    <row r="391" spans="1:11" ht="15.75" customHeight="1" x14ac:dyDescent="0.25">
      <c r="A391" s="153">
        <v>390</v>
      </c>
      <c r="B391" s="153" t="s">
        <v>728</v>
      </c>
      <c r="C391" s="153" t="s">
        <v>331</v>
      </c>
      <c r="D391" s="153" t="s">
        <v>332</v>
      </c>
      <c r="E391" s="153" t="s">
        <v>383</v>
      </c>
      <c r="F391" s="153" t="s">
        <v>346</v>
      </c>
      <c r="G391" s="153" t="s">
        <v>504</v>
      </c>
      <c r="H391" s="153" t="s">
        <v>330</v>
      </c>
      <c r="I391" s="153" t="s">
        <v>329</v>
      </c>
      <c r="J391" s="153" t="s">
        <v>328</v>
      </c>
      <c r="K391" s="153" t="s">
        <v>335</v>
      </c>
    </row>
    <row r="392" spans="1:11" ht="15.75" customHeight="1" x14ac:dyDescent="0.25">
      <c r="A392" s="153">
        <v>391</v>
      </c>
      <c r="B392" s="153" t="s">
        <v>729</v>
      </c>
      <c r="C392" s="153" t="s">
        <v>327</v>
      </c>
      <c r="D392" s="153" t="s">
        <v>328</v>
      </c>
      <c r="E392" s="153" t="s">
        <v>383</v>
      </c>
      <c r="F392" s="153" t="s">
        <v>504</v>
      </c>
      <c r="G392" s="153" t="s">
        <v>329</v>
      </c>
      <c r="H392" s="153" t="s">
        <v>346</v>
      </c>
      <c r="I392" s="153" t="s">
        <v>333</v>
      </c>
      <c r="J392" s="153" t="s">
        <v>334</v>
      </c>
      <c r="K392" s="153" t="s">
        <v>335</v>
      </c>
    </row>
    <row r="393" spans="1:11" ht="15.75" customHeight="1" x14ac:dyDescent="0.25">
      <c r="A393" s="153">
        <v>392</v>
      </c>
      <c r="B393" s="153" t="s">
        <v>730</v>
      </c>
      <c r="C393" s="153" t="s">
        <v>327</v>
      </c>
      <c r="D393" s="153" t="s">
        <v>328</v>
      </c>
      <c r="E393" s="153" t="s">
        <v>383</v>
      </c>
      <c r="F393" s="153" t="s">
        <v>346</v>
      </c>
      <c r="G393" s="153" t="s">
        <v>504</v>
      </c>
      <c r="H393" s="153" t="s">
        <v>331</v>
      </c>
      <c r="I393" s="153" t="s">
        <v>333</v>
      </c>
      <c r="J393" s="153" t="s">
        <v>334</v>
      </c>
      <c r="K393" s="153" t="s">
        <v>335</v>
      </c>
    </row>
    <row r="394" spans="1:11" ht="15.75" customHeight="1" x14ac:dyDescent="0.25">
      <c r="A394" s="153">
        <v>393</v>
      </c>
      <c r="B394" s="153" t="s">
        <v>731</v>
      </c>
      <c r="C394" s="153" t="s">
        <v>327</v>
      </c>
      <c r="D394" s="153" t="s">
        <v>329</v>
      </c>
      <c r="E394" s="153" t="s">
        <v>383</v>
      </c>
      <c r="F394" s="153" t="s">
        <v>346</v>
      </c>
      <c r="G394" s="153" t="s">
        <v>504</v>
      </c>
      <c r="H394" s="153" t="s">
        <v>331</v>
      </c>
      <c r="I394" s="153" t="s">
        <v>333</v>
      </c>
      <c r="J394" s="153" t="s">
        <v>334</v>
      </c>
      <c r="K394" s="153" t="s">
        <v>335</v>
      </c>
    </row>
    <row r="395" spans="1:11" ht="15.75" customHeight="1" x14ac:dyDescent="0.25">
      <c r="A395" s="153">
        <v>394</v>
      </c>
      <c r="B395" s="153" t="s">
        <v>732</v>
      </c>
      <c r="C395" s="153" t="s">
        <v>327</v>
      </c>
      <c r="D395" s="153" t="s">
        <v>328</v>
      </c>
      <c r="E395" s="153" t="s">
        <v>383</v>
      </c>
      <c r="F395" s="153" t="s">
        <v>346</v>
      </c>
      <c r="G395" s="153" t="s">
        <v>504</v>
      </c>
      <c r="H395" s="153" t="s">
        <v>331</v>
      </c>
      <c r="I395" s="153" t="s">
        <v>333</v>
      </c>
      <c r="J395" s="153" t="s">
        <v>329</v>
      </c>
      <c r="K395" s="153" t="s">
        <v>335</v>
      </c>
    </row>
    <row r="396" spans="1:11" ht="15.75" customHeight="1" x14ac:dyDescent="0.25">
      <c r="A396" s="153">
        <v>395</v>
      </c>
      <c r="B396" s="153" t="s">
        <v>733</v>
      </c>
      <c r="C396" s="153" t="s">
        <v>327</v>
      </c>
      <c r="D396" s="153" t="s">
        <v>328</v>
      </c>
      <c r="E396" s="153" t="s">
        <v>383</v>
      </c>
      <c r="F396" s="153" t="s">
        <v>346</v>
      </c>
      <c r="G396" s="153" t="s">
        <v>504</v>
      </c>
      <c r="H396" s="153" t="s">
        <v>331</v>
      </c>
      <c r="I396" s="153" t="s">
        <v>329</v>
      </c>
      <c r="J396" s="153" t="s">
        <v>334</v>
      </c>
      <c r="K396" s="153" t="s">
        <v>335</v>
      </c>
    </row>
    <row r="397" spans="1:11" ht="15.75" customHeight="1" x14ac:dyDescent="0.25">
      <c r="A397" s="153">
        <v>396</v>
      </c>
      <c r="B397" s="153" t="s">
        <v>734</v>
      </c>
      <c r="C397" s="153" t="s">
        <v>327</v>
      </c>
      <c r="D397" s="153" t="s">
        <v>328</v>
      </c>
      <c r="E397" s="153" t="s">
        <v>383</v>
      </c>
      <c r="F397" s="153" t="s">
        <v>346</v>
      </c>
      <c r="G397" s="153" t="s">
        <v>504</v>
      </c>
      <c r="H397" s="153" t="s">
        <v>332</v>
      </c>
      <c r="I397" s="153" t="s">
        <v>333</v>
      </c>
      <c r="J397" s="153" t="s">
        <v>334</v>
      </c>
      <c r="K397" s="153" t="s">
        <v>335</v>
      </c>
    </row>
    <row r="398" spans="1:11" ht="15.75" customHeight="1" x14ac:dyDescent="0.25">
      <c r="A398" s="153">
        <v>397</v>
      </c>
      <c r="B398" s="153" t="s">
        <v>735</v>
      </c>
      <c r="C398" s="153" t="s">
        <v>327</v>
      </c>
      <c r="D398" s="153" t="s">
        <v>332</v>
      </c>
      <c r="E398" s="153" t="s">
        <v>383</v>
      </c>
      <c r="F398" s="153" t="s">
        <v>504</v>
      </c>
      <c r="G398" s="153" t="s">
        <v>329</v>
      </c>
      <c r="H398" s="153" t="s">
        <v>346</v>
      </c>
      <c r="I398" s="153" t="s">
        <v>333</v>
      </c>
      <c r="J398" s="153" t="s">
        <v>334</v>
      </c>
      <c r="K398" s="153" t="s">
        <v>335</v>
      </c>
    </row>
    <row r="399" spans="1:11" ht="15.75" customHeight="1" x14ac:dyDescent="0.25">
      <c r="A399" s="153">
        <v>398</v>
      </c>
      <c r="B399" s="153" t="s">
        <v>736</v>
      </c>
      <c r="C399" s="153" t="s">
        <v>327</v>
      </c>
      <c r="D399" s="153" t="s">
        <v>328</v>
      </c>
      <c r="E399" s="153" t="s">
        <v>383</v>
      </c>
      <c r="F399" s="153" t="s">
        <v>346</v>
      </c>
      <c r="G399" s="153" t="s">
        <v>504</v>
      </c>
      <c r="H399" s="153" t="s">
        <v>332</v>
      </c>
      <c r="I399" s="153" t="s">
        <v>333</v>
      </c>
      <c r="J399" s="153" t="s">
        <v>329</v>
      </c>
      <c r="K399" s="153" t="s">
        <v>335</v>
      </c>
    </row>
    <row r="400" spans="1:11" ht="15.75" customHeight="1" x14ac:dyDescent="0.25">
      <c r="A400" s="153">
        <v>399</v>
      </c>
      <c r="B400" s="153" t="s">
        <v>737</v>
      </c>
      <c r="C400" s="153" t="s">
        <v>327</v>
      </c>
      <c r="D400" s="153" t="s">
        <v>328</v>
      </c>
      <c r="E400" s="153" t="s">
        <v>383</v>
      </c>
      <c r="F400" s="153" t="s">
        <v>346</v>
      </c>
      <c r="G400" s="153" t="s">
        <v>504</v>
      </c>
      <c r="H400" s="153" t="s">
        <v>332</v>
      </c>
      <c r="I400" s="153" t="s">
        <v>329</v>
      </c>
      <c r="J400" s="153" t="s">
        <v>334</v>
      </c>
      <c r="K400" s="153" t="s">
        <v>335</v>
      </c>
    </row>
    <row r="401" spans="1:11" ht="15.75" customHeight="1" x14ac:dyDescent="0.25">
      <c r="A401" s="153">
        <v>400</v>
      </c>
      <c r="B401" s="153" t="s">
        <v>738</v>
      </c>
      <c r="C401" s="153" t="s">
        <v>327</v>
      </c>
      <c r="D401" s="153" t="s">
        <v>332</v>
      </c>
      <c r="E401" s="153" t="s">
        <v>383</v>
      </c>
      <c r="F401" s="153" t="s">
        <v>346</v>
      </c>
      <c r="G401" s="153" t="s">
        <v>504</v>
      </c>
      <c r="H401" s="153" t="s">
        <v>331</v>
      </c>
      <c r="I401" s="153" t="s">
        <v>333</v>
      </c>
      <c r="J401" s="153" t="s">
        <v>334</v>
      </c>
      <c r="K401" s="153" t="s">
        <v>335</v>
      </c>
    </row>
    <row r="402" spans="1:11" ht="15.75" customHeight="1" x14ac:dyDescent="0.25">
      <c r="A402" s="153">
        <v>401</v>
      </c>
      <c r="B402" s="153" t="s">
        <v>739</v>
      </c>
      <c r="C402" s="153" t="s">
        <v>331</v>
      </c>
      <c r="D402" s="153" t="s">
        <v>328</v>
      </c>
      <c r="E402" s="153" t="s">
        <v>383</v>
      </c>
      <c r="F402" s="153" t="s">
        <v>346</v>
      </c>
      <c r="G402" s="153" t="s">
        <v>504</v>
      </c>
      <c r="H402" s="153" t="s">
        <v>332</v>
      </c>
      <c r="I402" s="153" t="s">
        <v>333</v>
      </c>
      <c r="J402" s="153" t="s">
        <v>327</v>
      </c>
      <c r="K402" s="153" t="s">
        <v>335</v>
      </c>
    </row>
    <row r="403" spans="1:11" ht="15.75" customHeight="1" x14ac:dyDescent="0.25">
      <c r="A403" s="153">
        <v>402</v>
      </c>
      <c r="B403" s="153" t="s">
        <v>740</v>
      </c>
      <c r="C403" s="153" t="s">
        <v>331</v>
      </c>
      <c r="D403" s="153" t="s">
        <v>328</v>
      </c>
      <c r="E403" s="153" t="s">
        <v>383</v>
      </c>
      <c r="F403" s="153" t="s">
        <v>346</v>
      </c>
      <c r="G403" s="153" t="s">
        <v>504</v>
      </c>
      <c r="H403" s="153" t="s">
        <v>332</v>
      </c>
      <c r="I403" s="153" t="s">
        <v>327</v>
      </c>
      <c r="J403" s="153" t="s">
        <v>334</v>
      </c>
      <c r="K403" s="153" t="s">
        <v>335</v>
      </c>
    </row>
    <row r="404" spans="1:11" ht="15.75" customHeight="1" x14ac:dyDescent="0.25">
      <c r="A404" s="153">
        <v>403</v>
      </c>
      <c r="B404" s="153" t="s">
        <v>741</v>
      </c>
      <c r="C404" s="153" t="s">
        <v>327</v>
      </c>
      <c r="D404" s="153" t="s">
        <v>332</v>
      </c>
      <c r="E404" s="153" t="s">
        <v>383</v>
      </c>
      <c r="F404" s="153" t="s">
        <v>346</v>
      </c>
      <c r="G404" s="153" t="s">
        <v>504</v>
      </c>
      <c r="H404" s="153" t="s">
        <v>331</v>
      </c>
      <c r="I404" s="153" t="s">
        <v>333</v>
      </c>
      <c r="J404" s="153" t="s">
        <v>329</v>
      </c>
      <c r="K404" s="153" t="s">
        <v>335</v>
      </c>
    </row>
    <row r="405" spans="1:11" ht="15.75" customHeight="1" x14ac:dyDescent="0.25">
      <c r="A405" s="153">
        <v>404</v>
      </c>
      <c r="B405" s="153" t="s">
        <v>742</v>
      </c>
      <c r="C405" s="153" t="s">
        <v>327</v>
      </c>
      <c r="D405" s="153" t="s">
        <v>332</v>
      </c>
      <c r="E405" s="153" t="s">
        <v>383</v>
      </c>
      <c r="F405" s="153" t="s">
        <v>346</v>
      </c>
      <c r="G405" s="153" t="s">
        <v>504</v>
      </c>
      <c r="H405" s="153" t="s">
        <v>331</v>
      </c>
      <c r="I405" s="153" t="s">
        <v>329</v>
      </c>
      <c r="J405" s="153" t="s">
        <v>334</v>
      </c>
      <c r="K405" s="153" t="s">
        <v>335</v>
      </c>
    </row>
    <row r="406" spans="1:11" ht="15.75" customHeight="1" x14ac:dyDescent="0.25">
      <c r="A406" s="153">
        <v>405</v>
      </c>
      <c r="B406" s="153" t="s">
        <v>743</v>
      </c>
      <c r="C406" s="153" t="s">
        <v>331</v>
      </c>
      <c r="D406" s="153" t="s">
        <v>328</v>
      </c>
      <c r="E406" s="153" t="s">
        <v>383</v>
      </c>
      <c r="F406" s="153" t="s">
        <v>346</v>
      </c>
      <c r="G406" s="153" t="s">
        <v>504</v>
      </c>
      <c r="H406" s="153" t="s">
        <v>332</v>
      </c>
      <c r="I406" s="153" t="s">
        <v>327</v>
      </c>
      <c r="J406" s="153" t="s">
        <v>329</v>
      </c>
      <c r="K406" s="153" t="s">
        <v>335</v>
      </c>
    </row>
    <row r="407" spans="1:11" ht="15.75" customHeight="1" x14ac:dyDescent="0.25">
      <c r="A407" s="153">
        <v>406</v>
      </c>
      <c r="B407" s="153" t="s">
        <v>744</v>
      </c>
      <c r="C407" s="153" t="s">
        <v>327</v>
      </c>
      <c r="D407" s="153" t="s">
        <v>328</v>
      </c>
      <c r="E407" s="153" t="s">
        <v>383</v>
      </c>
      <c r="F407" s="153" t="s">
        <v>346</v>
      </c>
      <c r="G407" s="153" t="s">
        <v>504</v>
      </c>
      <c r="H407" s="153" t="s">
        <v>330</v>
      </c>
      <c r="I407" s="153" t="s">
        <v>333</v>
      </c>
      <c r="J407" s="153" t="s">
        <v>334</v>
      </c>
      <c r="K407" s="153" t="s">
        <v>335</v>
      </c>
    </row>
    <row r="408" spans="1:11" ht="15.75" customHeight="1" x14ac:dyDescent="0.25">
      <c r="A408" s="153">
        <v>407</v>
      </c>
      <c r="B408" s="153" t="s">
        <v>745</v>
      </c>
      <c r="C408" s="153" t="s">
        <v>327</v>
      </c>
      <c r="D408" s="153" t="s">
        <v>329</v>
      </c>
      <c r="E408" s="153" t="s">
        <v>383</v>
      </c>
      <c r="F408" s="153" t="s">
        <v>346</v>
      </c>
      <c r="G408" s="153" t="s">
        <v>504</v>
      </c>
      <c r="H408" s="153" t="s">
        <v>330</v>
      </c>
      <c r="I408" s="153" t="s">
        <v>333</v>
      </c>
      <c r="J408" s="153" t="s">
        <v>334</v>
      </c>
      <c r="K408" s="153" t="s">
        <v>335</v>
      </c>
    </row>
    <row r="409" spans="1:11" ht="15.75" customHeight="1" x14ac:dyDescent="0.25">
      <c r="A409" s="153">
        <v>408</v>
      </c>
      <c r="B409" s="153" t="s">
        <v>746</v>
      </c>
      <c r="C409" s="153" t="s">
        <v>327</v>
      </c>
      <c r="D409" s="153" t="s">
        <v>328</v>
      </c>
      <c r="E409" s="153" t="s">
        <v>383</v>
      </c>
      <c r="F409" s="153" t="s">
        <v>346</v>
      </c>
      <c r="G409" s="153" t="s">
        <v>504</v>
      </c>
      <c r="H409" s="153" t="s">
        <v>330</v>
      </c>
      <c r="I409" s="153" t="s">
        <v>333</v>
      </c>
      <c r="J409" s="153" t="s">
        <v>329</v>
      </c>
      <c r="K409" s="153" t="s">
        <v>335</v>
      </c>
    </row>
    <row r="410" spans="1:11" ht="15.75" customHeight="1" x14ac:dyDescent="0.25">
      <c r="A410" s="153">
        <v>409</v>
      </c>
      <c r="B410" s="153" t="s">
        <v>747</v>
      </c>
      <c r="C410" s="153" t="s">
        <v>327</v>
      </c>
      <c r="D410" s="153" t="s">
        <v>328</v>
      </c>
      <c r="E410" s="153" t="s">
        <v>383</v>
      </c>
      <c r="F410" s="153" t="s">
        <v>346</v>
      </c>
      <c r="G410" s="153" t="s">
        <v>504</v>
      </c>
      <c r="H410" s="153" t="s">
        <v>330</v>
      </c>
      <c r="I410" s="153" t="s">
        <v>329</v>
      </c>
      <c r="J410" s="153" t="s">
        <v>334</v>
      </c>
      <c r="K410" s="153" t="s">
        <v>335</v>
      </c>
    </row>
    <row r="411" spans="1:11" ht="15.75" customHeight="1" x14ac:dyDescent="0.25">
      <c r="A411" s="153">
        <v>410</v>
      </c>
      <c r="B411" s="153" t="s">
        <v>748</v>
      </c>
      <c r="C411" s="153" t="s">
        <v>331</v>
      </c>
      <c r="D411" s="153" t="s">
        <v>327</v>
      </c>
      <c r="E411" s="153" t="s">
        <v>383</v>
      </c>
      <c r="F411" s="153" t="s">
        <v>346</v>
      </c>
      <c r="G411" s="153" t="s">
        <v>504</v>
      </c>
      <c r="H411" s="153" t="s">
        <v>330</v>
      </c>
      <c r="I411" s="153" t="s">
        <v>333</v>
      </c>
      <c r="J411" s="153" t="s">
        <v>334</v>
      </c>
      <c r="K411" s="153" t="s">
        <v>335</v>
      </c>
    </row>
    <row r="412" spans="1:11" ht="15.75" customHeight="1" x14ac:dyDescent="0.25">
      <c r="A412" s="153">
        <v>411</v>
      </c>
      <c r="B412" s="153" t="s">
        <v>749</v>
      </c>
      <c r="C412" s="153" t="s">
        <v>331</v>
      </c>
      <c r="D412" s="153" t="s">
        <v>328</v>
      </c>
      <c r="E412" s="153" t="s">
        <v>383</v>
      </c>
      <c r="F412" s="153" t="s">
        <v>346</v>
      </c>
      <c r="G412" s="153" t="s">
        <v>504</v>
      </c>
      <c r="H412" s="153" t="s">
        <v>330</v>
      </c>
      <c r="I412" s="153" t="s">
        <v>333</v>
      </c>
      <c r="J412" s="153" t="s">
        <v>327</v>
      </c>
      <c r="K412" s="153" t="s">
        <v>335</v>
      </c>
    </row>
    <row r="413" spans="1:11" ht="15.75" customHeight="1" x14ac:dyDescent="0.25">
      <c r="A413" s="153">
        <v>412</v>
      </c>
      <c r="B413" s="153" t="s">
        <v>750</v>
      </c>
      <c r="C413" s="153" t="s">
        <v>331</v>
      </c>
      <c r="D413" s="153" t="s">
        <v>328</v>
      </c>
      <c r="E413" s="153" t="s">
        <v>383</v>
      </c>
      <c r="F413" s="153" t="s">
        <v>346</v>
      </c>
      <c r="G413" s="153" t="s">
        <v>504</v>
      </c>
      <c r="H413" s="153" t="s">
        <v>330</v>
      </c>
      <c r="I413" s="153" t="s">
        <v>327</v>
      </c>
      <c r="J413" s="153" t="s">
        <v>334</v>
      </c>
      <c r="K413" s="153" t="s">
        <v>335</v>
      </c>
    </row>
    <row r="414" spans="1:11" ht="15.75" customHeight="1" x14ac:dyDescent="0.25">
      <c r="A414" s="153">
        <v>413</v>
      </c>
      <c r="B414" s="153" t="s">
        <v>751</v>
      </c>
      <c r="C414" s="153" t="s">
        <v>331</v>
      </c>
      <c r="D414" s="153" t="s">
        <v>327</v>
      </c>
      <c r="E414" s="153" t="s">
        <v>383</v>
      </c>
      <c r="F414" s="153" t="s">
        <v>346</v>
      </c>
      <c r="G414" s="153" t="s">
        <v>504</v>
      </c>
      <c r="H414" s="153" t="s">
        <v>330</v>
      </c>
      <c r="I414" s="153" t="s">
        <v>333</v>
      </c>
      <c r="J414" s="153" t="s">
        <v>329</v>
      </c>
      <c r="K414" s="153" t="s">
        <v>335</v>
      </c>
    </row>
    <row r="415" spans="1:11" ht="15.75" customHeight="1" x14ac:dyDescent="0.25">
      <c r="A415" s="153">
        <v>414</v>
      </c>
      <c r="B415" s="153" t="s">
        <v>752</v>
      </c>
      <c r="C415" s="153" t="s">
        <v>331</v>
      </c>
      <c r="D415" s="153" t="s">
        <v>327</v>
      </c>
      <c r="E415" s="153" t="s">
        <v>383</v>
      </c>
      <c r="F415" s="153" t="s">
        <v>346</v>
      </c>
      <c r="G415" s="153" t="s">
        <v>504</v>
      </c>
      <c r="H415" s="153" t="s">
        <v>330</v>
      </c>
      <c r="I415" s="153" t="s">
        <v>329</v>
      </c>
      <c r="J415" s="153" t="s">
        <v>334</v>
      </c>
      <c r="K415" s="153" t="s">
        <v>335</v>
      </c>
    </row>
    <row r="416" spans="1:11" ht="15.75" customHeight="1" x14ac:dyDescent="0.25">
      <c r="A416" s="153">
        <v>415</v>
      </c>
      <c r="B416" s="153" t="s">
        <v>753</v>
      </c>
      <c r="C416" s="153" t="s">
        <v>331</v>
      </c>
      <c r="D416" s="153" t="s">
        <v>328</v>
      </c>
      <c r="E416" s="153" t="s">
        <v>383</v>
      </c>
      <c r="F416" s="153" t="s">
        <v>346</v>
      </c>
      <c r="G416" s="153" t="s">
        <v>504</v>
      </c>
      <c r="H416" s="153" t="s">
        <v>330</v>
      </c>
      <c r="I416" s="153" t="s">
        <v>327</v>
      </c>
      <c r="J416" s="153" t="s">
        <v>329</v>
      </c>
      <c r="K416" s="153" t="s">
        <v>335</v>
      </c>
    </row>
    <row r="417" spans="1:11" ht="15.75" customHeight="1" x14ac:dyDescent="0.25">
      <c r="A417" s="153">
        <v>416</v>
      </c>
      <c r="B417" s="153" t="s">
        <v>754</v>
      </c>
      <c r="C417" s="153" t="s">
        <v>327</v>
      </c>
      <c r="D417" s="153" t="s">
        <v>332</v>
      </c>
      <c r="E417" s="153" t="s">
        <v>383</v>
      </c>
      <c r="F417" s="153" t="s">
        <v>346</v>
      </c>
      <c r="G417" s="153" t="s">
        <v>504</v>
      </c>
      <c r="H417" s="153" t="s">
        <v>330</v>
      </c>
      <c r="I417" s="153" t="s">
        <v>333</v>
      </c>
      <c r="J417" s="153" t="s">
        <v>334</v>
      </c>
      <c r="K417" s="153" t="s">
        <v>335</v>
      </c>
    </row>
    <row r="418" spans="1:11" ht="15.75" customHeight="1" x14ac:dyDescent="0.25">
      <c r="A418" s="153">
        <v>417</v>
      </c>
      <c r="B418" s="153" t="s">
        <v>755</v>
      </c>
      <c r="C418" s="153" t="s">
        <v>327</v>
      </c>
      <c r="D418" s="153" t="s">
        <v>332</v>
      </c>
      <c r="E418" s="153" t="s">
        <v>383</v>
      </c>
      <c r="F418" s="153" t="s">
        <v>346</v>
      </c>
      <c r="G418" s="153" t="s">
        <v>504</v>
      </c>
      <c r="H418" s="153" t="s">
        <v>330</v>
      </c>
      <c r="I418" s="153" t="s">
        <v>333</v>
      </c>
      <c r="J418" s="153" t="s">
        <v>328</v>
      </c>
      <c r="K418" s="153" t="s">
        <v>335</v>
      </c>
    </row>
    <row r="419" spans="1:11" ht="15.75" customHeight="1" x14ac:dyDescent="0.25">
      <c r="A419" s="153">
        <v>418</v>
      </c>
      <c r="B419" s="153" t="s">
        <v>756</v>
      </c>
      <c r="C419" s="153" t="s">
        <v>327</v>
      </c>
      <c r="D419" s="153" t="s">
        <v>332</v>
      </c>
      <c r="E419" s="153" t="s">
        <v>383</v>
      </c>
      <c r="F419" s="153" t="s">
        <v>346</v>
      </c>
      <c r="G419" s="153" t="s">
        <v>504</v>
      </c>
      <c r="H419" s="153" t="s">
        <v>330</v>
      </c>
      <c r="I419" s="153" t="s">
        <v>328</v>
      </c>
      <c r="J419" s="153" t="s">
        <v>334</v>
      </c>
      <c r="K419" s="153" t="s">
        <v>335</v>
      </c>
    </row>
    <row r="420" spans="1:11" ht="15.75" customHeight="1" x14ac:dyDescent="0.25">
      <c r="A420" s="153">
        <v>419</v>
      </c>
      <c r="B420" s="153" t="s">
        <v>757</v>
      </c>
      <c r="C420" s="153" t="s">
        <v>327</v>
      </c>
      <c r="D420" s="153" t="s">
        <v>332</v>
      </c>
      <c r="E420" s="153" t="s">
        <v>383</v>
      </c>
      <c r="F420" s="153" t="s">
        <v>346</v>
      </c>
      <c r="G420" s="153" t="s">
        <v>504</v>
      </c>
      <c r="H420" s="153" t="s">
        <v>330</v>
      </c>
      <c r="I420" s="153" t="s">
        <v>333</v>
      </c>
      <c r="J420" s="153" t="s">
        <v>329</v>
      </c>
      <c r="K420" s="153" t="s">
        <v>335</v>
      </c>
    </row>
    <row r="421" spans="1:11" ht="15.75" customHeight="1" x14ac:dyDescent="0.25">
      <c r="A421" s="153">
        <v>420</v>
      </c>
      <c r="B421" s="153" t="s">
        <v>758</v>
      </c>
      <c r="C421" s="153" t="s">
        <v>327</v>
      </c>
      <c r="D421" s="153" t="s">
        <v>332</v>
      </c>
      <c r="E421" s="153" t="s">
        <v>383</v>
      </c>
      <c r="F421" s="153" t="s">
        <v>346</v>
      </c>
      <c r="G421" s="153" t="s">
        <v>504</v>
      </c>
      <c r="H421" s="153" t="s">
        <v>330</v>
      </c>
      <c r="I421" s="153" t="s">
        <v>329</v>
      </c>
      <c r="J421" s="153" t="s">
        <v>334</v>
      </c>
      <c r="K421" s="153" t="s">
        <v>335</v>
      </c>
    </row>
    <row r="422" spans="1:11" ht="15.75" customHeight="1" x14ac:dyDescent="0.25">
      <c r="A422" s="153">
        <v>421</v>
      </c>
      <c r="B422" s="153" t="s">
        <v>759</v>
      </c>
      <c r="C422" s="153" t="s">
        <v>327</v>
      </c>
      <c r="D422" s="153" t="s">
        <v>332</v>
      </c>
      <c r="E422" s="153" t="s">
        <v>383</v>
      </c>
      <c r="F422" s="153" t="s">
        <v>346</v>
      </c>
      <c r="G422" s="153" t="s">
        <v>504</v>
      </c>
      <c r="H422" s="153" t="s">
        <v>330</v>
      </c>
      <c r="I422" s="153" t="s">
        <v>329</v>
      </c>
      <c r="J422" s="153" t="s">
        <v>328</v>
      </c>
      <c r="K422" s="153" t="s">
        <v>335</v>
      </c>
    </row>
    <row r="423" spans="1:11" ht="15.75" customHeight="1" x14ac:dyDescent="0.25">
      <c r="A423" s="153">
        <v>422</v>
      </c>
      <c r="B423" s="153" t="s">
        <v>760</v>
      </c>
      <c r="C423" s="153" t="s">
        <v>331</v>
      </c>
      <c r="D423" s="153" t="s">
        <v>332</v>
      </c>
      <c r="E423" s="153" t="s">
        <v>383</v>
      </c>
      <c r="F423" s="153" t="s">
        <v>346</v>
      </c>
      <c r="G423" s="153" t="s">
        <v>504</v>
      </c>
      <c r="H423" s="153" t="s">
        <v>330</v>
      </c>
      <c r="I423" s="153" t="s">
        <v>333</v>
      </c>
      <c r="J423" s="153" t="s">
        <v>327</v>
      </c>
      <c r="K423" s="153" t="s">
        <v>335</v>
      </c>
    </row>
    <row r="424" spans="1:11" ht="15.75" customHeight="1" x14ac:dyDescent="0.25">
      <c r="A424" s="153">
        <v>423</v>
      </c>
      <c r="B424" s="153" t="s">
        <v>761</v>
      </c>
      <c r="C424" s="153" t="s">
        <v>331</v>
      </c>
      <c r="D424" s="153" t="s">
        <v>332</v>
      </c>
      <c r="E424" s="153" t="s">
        <v>383</v>
      </c>
      <c r="F424" s="153" t="s">
        <v>346</v>
      </c>
      <c r="G424" s="153" t="s">
        <v>504</v>
      </c>
      <c r="H424" s="153" t="s">
        <v>330</v>
      </c>
      <c r="I424" s="153" t="s">
        <v>327</v>
      </c>
      <c r="J424" s="153" t="s">
        <v>334</v>
      </c>
      <c r="K424" s="153" t="s">
        <v>335</v>
      </c>
    </row>
    <row r="425" spans="1:11" ht="15.75" customHeight="1" x14ac:dyDescent="0.25">
      <c r="A425" s="153">
        <v>424</v>
      </c>
      <c r="B425" s="153" t="s">
        <v>762</v>
      </c>
      <c r="C425" s="153" t="s">
        <v>331</v>
      </c>
      <c r="D425" s="153" t="s">
        <v>332</v>
      </c>
      <c r="E425" s="153" t="s">
        <v>383</v>
      </c>
      <c r="F425" s="153" t="s">
        <v>346</v>
      </c>
      <c r="G425" s="153" t="s">
        <v>504</v>
      </c>
      <c r="H425" s="153" t="s">
        <v>330</v>
      </c>
      <c r="I425" s="153" t="s">
        <v>327</v>
      </c>
      <c r="J425" s="153" t="s">
        <v>328</v>
      </c>
      <c r="K425" s="153" t="s">
        <v>335</v>
      </c>
    </row>
    <row r="426" spans="1:11" ht="15.75" customHeight="1" x14ac:dyDescent="0.25">
      <c r="A426" s="153">
        <v>425</v>
      </c>
      <c r="B426" s="153" t="s">
        <v>763</v>
      </c>
      <c r="C426" s="153" t="s">
        <v>331</v>
      </c>
      <c r="D426" s="153" t="s">
        <v>332</v>
      </c>
      <c r="E426" s="153" t="s">
        <v>383</v>
      </c>
      <c r="F426" s="153" t="s">
        <v>346</v>
      </c>
      <c r="G426" s="153" t="s">
        <v>504</v>
      </c>
      <c r="H426" s="153" t="s">
        <v>330</v>
      </c>
      <c r="I426" s="153" t="s">
        <v>327</v>
      </c>
      <c r="J426" s="153" t="s">
        <v>329</v>
      </c>
      <c r="K426" s="153" t="s">
        <v>335</v>
      </c>
    </row>
    <row r="427" spans="1:11" ht="15.75" customHeight="1" x14ac:dyDescent="0.25">
      <c r="A427" s="153">
        <v>426</v>
      </c>
      <c r="B427" s="153" t="s">
        <v>764</v>
      </c>
      <c r="C427" s="153" t="s">
        <v>329</v>
      </c>
      <c r="D427" s="153" t="s">
        <v>328</v>
      </c>
      <c r="E427" s="153" t="s">
        <v>383</v>
      </c>
      <c r="F427" s="153" t="s">
        <v>346</v>
      </c>
      <c r="G427" s="153" t="s">
        <v>504</v>
      </c>
      <c r="H427" s="153" t="s">
        <v>337</v>
      </c>
      <c r="I427" s="153" t="s">
        <v>333</v>
      </c>
      <c r="J427" s="153" t="s">
        <v>334</v>
      </c>
      <c r="K427" s="153" t="s">
        <v>335</v>
      </c>
    </row>
    <row r="428" spans="1:11" ht="15.75" customHeight="1" x14ac:dyDescent="0.25">
      <c r="A428" s="153">
        <v>427</v>
      </c>
      <c r="B428" s="153" t="s">
        <v>765</v>
      </c>
      <c r="C428" s="153" t="s">
        <v>331</v>
      </c>
      <c r="D428" s="153" t="s">
        <v>328</v>
      </c>
      <c r="E428" s="153" t="s">
        <v>383</v>
      </c>
      <c r="F428" s="153" t="s">
        <v>346</v>
      </c>
      <c r="G428" s="153" t="s">
        <v>504</v>
      </c>
      <c r="H428" s="153" t="s">
        <v>337</v>
      </c>
      <c r="I428" s="153" t="s">
        <v>333</v>
      </c>
      <c r="J428" s="153" t="s">
        <v>334</v>
      </c>
      <c r="K428" s="153" t="s">
        <v>335</v>
      </c>
    </row>
    <row r="429" spans="1:11" ht="15.75" customHeight="1" x14ac:dyDescent="0.25">
      <c r="A429" s="153">
        <v>428</v>
      </c>
      <c r="B429" s="153" t="s">
        <v>766</v>
      </c>
      <c r="C429" s="153" t="s">
        <v>331</v>
      </c>
      <c r="D429" s="153" t="s">
        <v>329</v>
      </c>
      <c r="E429" s="153" t="s">
        <v>383</v>
      </c>
      <c r="F429" s="153" t="s">
        <v>346</v>
      </c>
      <c r="G429" s="153" t="s">
        <v>504</v>
      </c>
      <c r="H429" s="153" t="s">
        <v>337</v>
      </c>
      <c r="I429" s="153" t="s">
        <v>333</v>
      </c>
      <c r="J429" s="153" t="s">
        <v>334</v>
      </c>
      <c r="K429" s="153" t="s">
        <v>335</v>
      </c>
    </row>
    <row r="430" spans="1:11" ht="15.75" customHeight="1" x14ac:dyDescent="0.25">
      <c r="A430" s="153">
        <v>429</v>
      </c>
      <c r="B430" s="153" t="s">
        <v>767</v>
      </c>
      <c r="C430" s="153" t="s">
        <v>331</v>
      </c>
      <c r="D430" s="153" t="s">
        <v>328</v>
      </c>
      <c r="E430" s="153" t="s">
        <v>383</v>
      </c>
      <c r="F430" s="153" t="s">
        <v>346</v>
      </c>
      <c r="G430" s="153" t="s">
        <v>504</v>
      </c>
      <c r="H430" s="153" t="s">
        <v>337</v>
      </c>
      <c r="I430" s="153" t="s">
        <v>333</v>
      </c>
      <c r="J430" s="153" t="s">
        <v>329</v>
      </c>
      <c r="K430" s="153" t="s">
        <v>335</v>
      </c>
    </row>
    <row r="431" spans="1:11" ht="15.75" customHeight="1" x14ac:dyDescent="0.25">
      <c r="A431" s="153">
        <v>430</v>
      </c>
      <c r="B431" s="153" t="s">
        <v>768</v>
      </c>
      <c r="C431" s="153" t="s">
        <v>331</v>
      </c>
      <c r="D431" s="153" t="s">
        <v>328</v>
      </c>
      <c r="E431" s="153" t="s">
        <v>383</v>
      </c>
      <c r="F431" s="153" t="s">
        <v>346</v>
      </c>
      <c r="G431" s="153" t="s">
        <v>504</v>
      </c>
      <c r="H431" s="153" t="s">
        <v>337</v>
      </c>
      <c r="I431" s="153" t="s">
        <v>329</v>
      </c>
      <c r="J431" s="153" t="s">
        <v>334</v>
      </c>
      <c r="K431" s="153" t="s">
        <v>335</v>
      </c>
    </row>
    <row r="432" spans="1:11" ht="15.75" customHeight="1" x14ac:dyDescent="0.25">
      <c r="A432" s="153">
        <v>431</v>
      </c>
      <c r="B432" s="153" t="s">
        <v>769</v>
      </c>
      <c r="C432" s="153" t="s">
        <v>346</v>
      </c>
      <c r="D432" s="153" t="s">
        <v>328</v>
      </c>
      <c r="E432" s="153" t="s">
        <v>383</v>
      </c>
      <c r="F432" s="153" t="s">
        <v>337</v>
      </c>
      <c r="G432" s="153" t="s">
        <v>504</v>
      </c>
      <c r="H432" s="153" t="s">
        <v>332</v>
      </c>
      <c r="I432" s="153" t="s">
        <v>333</v>
      </c>
      <c r="J432" s="153" t="s">
        <v>334</v>
      </c>
      <c r="K432" s="153" t="s">
        <v>335</v>
      </c>
    </row>
    <row r="433" spans="1:11" ht="15.75" customHeight="1" x14ac:dyDescent="0.25">
      <c r="A433" s="153">
        <v>432</v>
      </c>
      <c r="B433" s="153" t="s">
        <v>770</v>
      </c>
      <c r="C433" s="153" t="s">
        <v>329</v>
      </c>
      <c r="D433" s="153" t="s">
        <v>332</v>
      </c>
      <c r="E433" s="153" t="s">
        <v>383</v>
      </c>
      <c r="F433" s="153" t="s">
        <v>346</v>
      </c>
      <c r="G433" s="153" t="s">
        <v>504</v>
      </c>
      <c r="H433" s="153" t="s">
        <v>337</v>
      </c>
      <c r="I433" s="153" t="s">
        <v>333</v>
      </c>
      <c r="J433" s="153" t="s">
        <v>334</v>
      </c>
      <c r="K433" s="153" t="s">
        <v>335</v>
      </c>
    </row>
    <row r="434" spans="1:11" ht="15.75" customHeight="1" x14ac:dyDescent="0.25">
      <c r="A434" s="153">
        <v>433</v>
      </c>
      <c r="B434" s="153" t="s">
        <v>771</v>
      </c>
      <c r="C434" s="153" t="s">
        <v>346</v>
      </c>
      <c r="D434" s="153" t="s">
        <v>328</v>
      </c>
      <c r="E434" s="153" t="s">
        <v>383</v>
      </c>
      <c r="F434" s="153" t="s">
        <v>337</v>
      </c>
      <c r="G434" s="153" t="s">
        <v>504</v>
      </c>
      <c r="H434" s="153" t="s">
        <v>332</v>
      </c>
      <c r="I434" s="153" t="s">
        <v>333</v>
      </c>
      <c r="J434" s="153" t="s">
        <v>329</v>
      </c>
      <c r="K434" s="153" t="s">
        <v>335</v>
      </c>
    </row>
    <row r="435" spans="1:11" ht="15.75" customHeight="1" x14ac:dyDescent="0.25">
      <c r="A435" s="153">
        <v>434</v>
      </c>
      <c r="B435" s="153" t="s">
        <v>772</v>
      </c>
      <c r="C435" s="153" t="s">
        <v>346</v>
      </c>
      <c r="D435" s="153" t="s">
        <v>328</v>
      </c>
      <c r="E435" s="153" t="s">
        <v>383</v>
      </c>
      <c r="F435" s="153" t="s">
        <v>337</v>
      </c>
      <c r="G435" s="153" t="s">
        <v>504</v>
      </c>
      <c r="H435" s="153" t="s">
        <v>332</v>
      </c>
      <c r="I435" s="153" t="s">
        <v>329</v>
      </c>
      <c r="J435" s="153" t="s">
        <v>334</v>
      </c>
      <c r="K435" s="153" t="s">
        <v>335</v>
      </c>
    </row>
    <row r="436" spans="1:11" ht="15.75" customHeight="1" x14ac:dyDescent="0.25">
      <c r="A436" s="153">
        <v>435</v>
      </c>
      <c r="B436" s="153" t="s">
        <v>773</v>
      </c>
      <c r="C436" s="153" t="s">
        <v>331</v>
      </c>
      <c r="D436" s="153" t="s">
        <v>332</v>
      </c>
      <c r="E436" s="153" t="s">
        <v>383</v>
      </c>
      <c r="F436" s="153" t="s">
        <v>346</v>
      </c>
      <c r="G436" s="153" t="s">
        <v>504</v>
      </c>
      <c r="H436" s="153" t="s">
        <v>337</v>
      </c>
      <c r="I436" s="153" t="s">
        <v>333</v>
      </c>
      <c r="J436" s="153" t="s">
        <v>334</v>
      </c>
      <c r="K436" s="153" t="s">
        <v>335</v>
      </c>
    </row>
    <row r="437" spans="1:11" ht="15.75" customHeight="1" x14ac:dyDescent="0.25">
      <c r="A437" s="153">
        <v>436</v>
      </c>
      <c r="B437" s="153" t="s">
        <v>774</v>
      </c>
      <c r="C437" s="153" t="s">
        <v>331</v>
      </c>
      <c r="D437" s="153" t="s">
        <v>332</v>
      </c>
      <c r="E437" s="153" t="s">
        <v>383</v>
      </c>
      <c r="F437" s="153" t="s">
        <v>346</v>
      </c>
      <c r="G437" s="153" t="s">
        <v>504</v>
      </c>
      <c r="H437" s="153" t="s">
        <v>337</v>
      </c>
      <c r="I437" s="153" t="s">
        <v>333</v>
      </c>
      <c r="J437" s="153" t="s">
        <v>328</v>
      </c>
      <c r="K437" s="153" t="s">
        <v>335</v>
      </c>
    </row>
    <row r="438" spans="1:11" ht="15.75" customHeight="1" x14ac:dyDescent="0.25">
      <c r="A438" s="153">
        <v>437</v>
      </c>
      <c r="B438" s="153" t="s">
        <v>775</v>
      </c>
      <c r="C438" s="153" t="s">
        <v>331</v>
      </c>
      <c r="D438" s="153" t="s">
        <v>332</v>
      </c>
      <c r="E438" s="153" t="s">
        <v>383</v>
      </c>
      <c r="F438" s="153" t="s">
        <v>346</v>
      </c>
      <c r="G438" s="153" t="s">
        <v>504</v>
      </c>
      <c r="H438" s="153" t="s">
        <v>337</v>
      </c>
      <c r="I438" s="153" t="s">
        <v>328</v>
      </c>
      <c r="J438" s="153" t="s">
        <v>334</v>
      </c>
      <c r="K438" s="153" t="s">
        <v>335</v>
      </c>
    </row>
    <row r="439" spans="1:11" ht="15.75" customHeight="1" x14ac:dyDescent="0.25">
      <c r="A439" s="153">
        <v>438</v>
      </c>
      <c r="B439" s="153" t="s">
        <v>776</v>
      </c>
      <c r="C439" s="153" t="s">
        <v>331</v>
      </c>
      <c r="D439" s="153" t="s">
        <v>332</v>
      </c>
      <c r="E439" s="153" t="s">
        <v>383</v>
      </c>
      <c r="F439" s="153" t="s">
        <v>346</v>
      </c>
      <c r="G439" s="153" t="s">
        <v>504</v>
      </c>
      <c r="H439" s="153" t="s">
        <v>337</v>
      </c>
      <c r="I439" s="153" t="s">
        <v>333</v>
      </c>
      <c r="J439" s="153" t="s">
        <v>329</v>
      </c>
      <c r="K439" s="153" t="s">
        <v>335</v>
      </c>
    </row>
    <row r="440" spans="1:11" ht="15.75" customHeight="1" x14ac:dyDescent="0.25">
      <c r="A440" s="153">
        <v>439</v>
      </c>
      <c r="B440" s="153" t="s">
        <v>777</v>
      </c>
      <c r="C440" s="153" t="s">
        <v>331</v>
      </c>
      <c r="D440" s="153" t="s">
        <v>332</v>
      </c>
      <c r="E440" s="153" t="s">
        <v>383</v>
      </c>
      <c r="F440" s="153" t="s">
        <v>346</v>
      </c>
      <c r="G440" s="153" t="s">
        <v>504</v>
      </c>
      <c r="H440" s="153" t="s">
        <v>337</v>
      </c>
      <c r="I440" s="153" t="s">
        <v>329</v>
      </c>
      <c r="J440" s="153" t="s">
        <v>334</v>
      </c>
      <c r="K440" s="153" t="s">
        <v>335</v>
      </c>
    </row>
    <row r="441" spans="1:11" ht="15.75" customHeight="1" x14ac:dyDescent="0.25">
      <c r="A441" s="153">
        <v>440</v>
      </c>
      <c r="B441" s="153" t="s">
        <v>778</v>
      </c>
      <c r="C441" s="153" t="s">
        <v>331</v>
      </c>
      <c r="D441" s="153" t="s">
        <v>332</v>
      </c>
      <c r="E441" s="153" t="s">
        <v>383</v>
      </c>
      <c r="F441" s="153" t="s">
        <v>346</v>
      </c>
      <c r="G441" s="153" t="s">
        <v>504</v>
      </c>
      <c r="H441" s="153" t="s">
        <v>337</v>
      </c>
      <c r="I441" s="153" t="s">
        <v>329</v>
      </c>
      <c r="J441" s="153" t="s">
        <v>328</v>
      </c>
      <c r="K441" s="153" t="s">
        <v>335</v>
      </c>
    </row>
    <row r="442" spans="1:11" ht="15.75" customHeight="1" x14ac:dyDescent="0.25">
      <c r="A442" s="153">
        <v>441</v>
      </c>
      <c r="B442" s="153" t="s">
        <v>779</v>
      </c>
      <c r="C442" s="153" t="s">
        <v>346</v>
      </c>
      <c r="D442" s="153" t="s">
        <v>328</v>
      </c>
      <c r="E442" s="153" t="s">
        <v>383</v>
      </c>
      <c r="F442" s="153" t="s">
        <v>337</v>
      </c>
      <c r="G442" s="153" t="s">
        <v>504</v>
      </c>
      <c r="H442" s="153" t="s">
        <v>330</v>
      </c>
      <c r="I442" s="153" t="s">
        <v>333</v>
      </c>
      <c r="J442" s="153" t="s">
        <v>334</v>
      </c>
      <c r="K442" s="153" t="s">
        <v>335</v>
      </c>
    </row>
    <row r="443" spans="1:11" ht="15.75" customHeight="1" x14ac:dyDescent="0.25">
      <c r="A443" s="153">
        <v>442</v>
      </c>
      <c r="B443" s="153" t="s">
        <v>780</v>
      </c>
      <c r="C443" s="153" t="s">
        <v>346</v>
      </c>
      <c r="D443" s="153" t="s">
        <v>329</v>
      </c>
      <c r="E443" s="153" t="s">
        <v>383</v>
      </c>
      <c r="F443" s="153" t="s">
        <v>337</v>
      </c>
      <c r="G443" s="153" t="s">
        <v>504</v>
      </c>
      <c r="H443" s="153" t="s">
        <v>330</v>
      </c>
      <c r="I443" s="153" t="s">
        <v>333</v>
      </c>
      <c r="J443" s="153" t="s">
        <v>334</v>
      </c>
      <c r="K443" s="153" t="s">
        <v>335</v>
      </c>
    </row>
    <row r="444" spans="1:11" ht="15.75" customHeight="1" x14ac:dyDescent="0.25">
      <c r="A444" s="153">
        <v>443</v>
      </c>
      <c r="B444" s="153" t="s">
        <v>781</v>
      </c>
      <c r="C444" s="153" t="s">
        <v>346</v>
      </c>
      <c r="D444" s="153" t="s">
        <v>328</v>
      </c>
      <c r="E444" s="153" t="s">
        <v>383</v>
      </c>
      <c r="F444" s="153" t="s">
        <v>337</v>
      </c>
      <c r="G444" s="153" t="s">
        <v>504</v>
      </c>
      <c r="H444" s="153" t="s">
        <v>330</v>
      </c>
      <c r="I444" s="153" t="s">
        <v>333</v>
      </c>
      <c r="J444" s="153" t="s">
        <v>329</v>
      </c>
      <c r="K444" s="153" t="s">
        <v>335</v>
      </c>
    </row>
    <row r="445" spans="1:11" ht="15.75" customHeight="1" x14ac:dyDescent="0.25">
      <c r="A445" s="153">
        <v>444</v>
      </c>
      <c r="B445" s="153" t="s">
        <v>782</v>
      </c>
      <c r="C445" s="153" t="s">
        <v>346</v>
      </c>
      <c r="D445" s="153" t="s">
        <v>328</v>
      </c>
      <c r="E445" s="153" t="s">
        <v>383</v>
      </c>
      <c r="F445" s="153" t="s">
        <v>337</v>
      </c>
      <c r="G445" s="153" t="s">
        <v>504</v>
      </c>
      <c r="H445" s="153" t="s">
        <v>330</v>
      </c>
      <c r="I445" s="153" t="s">
        <v>329</v>
      </c>
      <c r="J445" s="153" t="s">
        <v>334</v>
      </c>
      <c r="K445" s="153" t="s">
        <v>335</v>
      </c>
    </row>
    <row r="446" spans="1:11" ht="15.75" customHeight="1" x14ac:dyDescent="0.25">
      <c r="A446" s="153">
        <v>445</v>
      </c>
      <c r="B446" s="153" t="s">
        <v>783</v>
      </c>
      <c r="C446" s="153" t="s">
        <v>331</v>
      </c>
      <c r="D446" s="153" t="s">
        <v>330</v>
      </c>
      <c r="E446" s="153" t="s">
        <v>383</v>
      </c>
      <c r="F446" s="153" t="s">
        <v>346</v>
      </c>
      <c r="G446" s="153" t="s">
        <v>504</v>
      </c>
      <c r="H446" s="153" t="s">
        <v>337</v>
      </c>
      <c r="I446" s="153" t="s">
        <v>333</v>
      </c>
      <c r="J446" s="153" t="s">
        <v>334</v>
      </c>
      <c r="K446" s="153" t="s">
        <v>335</v>
      </c>
    </row>
    <row r="447" spans="1:11" ht="15.75" customHeight="1" x14ac:dyDescent="0.25">
      <c r="A447" s="153">
        <v>446</v>
      </c>
      <c r="B447" s="153" t="s">
        <v>784</v>
      </c>
      <c r="C447" s="153" t="s">
        <v>346</v>
      </c>
      <c r="D447" s="153" t="s">
        <v>328</v>
      </c>
      <c r="E447" s="153" t="s">
        <v>383</v>
      </c>
      <c r="F447" s="153" t="s">
        <v>337</v>
      </c>
      <c r="G447" s="153" t="s">
        <v>504</v>
      </c>
      <c r="H447" s="153" t="s">
        <v>330</v>
      </c>
      <c r="I447" s="153" t="s">
        <v>333</v>
      </c>
      <c r="J447" s="153" t="s">
        <v>331</v>
      </c>
      <c r="K447" s="153" t="s">
        <v>335</v>
      </c>
    </row>
    <row r="448" spans="1:11" ht="15.75" customHeight="1" x14ac:dyDescent="0.25">
      <c r="A448" s="153">
        <v>447</v>
      </c>
      <c r="B448" s="153" t="s">
        <v>785</v>
      </c>
      <c r="C448" s="153" t="s">
        <v>331</v>
      </c>
      <c r="D448" s="153" t="s">
        <v>328</v>
      </c>
      <c r="E448" s="153" t="s">
        <v>383</v>
      </c>
      <c r="F448" s="153" t="s">
        <v>346</v>
      </c>
      <c r="G448" s="153" t="s">
        <v>504</v>
      </c>
      <c r="H448" s="153" t="s">
        <v>330</v>
      </c>
      <c r="I448" s="153" t="s">
        <v>337</v>
      </c>
      <c r="J448" s="153" t="s">
        <v>334</v>
      </c>
      <c r="K448" s="153" t="s">
        <v>335</v>
      </c>
    </row>
    <row r="449" spans="1:11" ht="15.75" customHeight="1" x14ac:dyDescent="0.25">
      <c r="A449" s="153">
        <v>448</v>
      </c>
      <c r="B449" s="153" t="s">
        <v>786</v>
      </c>
      <c r="C449" s="153" t="s">
        <v>331</v>
      </c>
      <c r="D449" s="153" t="s">
        <v>330</v>
      </c>
      <c r="E449" s="153" t="s">
        <v>383</v>
      </c>
      <c r="F449" s="153" t="s">
        <v>346</v>
      </c>
      <c r="G449" s="153" t="s">
        <v>504</v>
      </c>
      <c r="H449" s="153" t="s">
        <v>337</v>
      </c>
      <c r="I449" s="153" t="s">
        <v>333</v>
      </c>
      <c r="J449" s="153" t="s">
        <v>329</v>
      </c>
      <c r="K449" s="153" t="s">
        <v>335</v>
      </c>
    </row>
    <row r="450" spans="1:11" ht="15.75" customHeight="1" x14ac:dyDescent="0.25">
      <c r="A450" s="153">
        <v>449</v>
      </c>
      <c r="B450" s="153" t="s">
        <v>787</v>
      </c>
      <c r="C450" s="153" t="s">
        <v>331</v>
      </c>
      <c r="D450" s="153" t="s">
        <v>330</v>
      </c>
      <c r="E450" s="153" t="s">
        <v>383</v>
      </c>
      <c r="F450" s="153" t="s">
        <v>346</v>
      </c>
      <c r="G450" s="153" t="s">
        <v>504</v>
      </c>
      <c r="H450" s="153" t="s">
        <v>337</v>
      </c>
      <c r="I450" s="153" t="s">
        <v>329</v>
      </c>
      <c r="J450" s="153" t="s">
        <v>334</v>
      </c>
      <c r="K450" s="153" t="s">
        <v>335</v>
      </c>
    </row>
    <row r="451" spans="1:11" ht="15.75" customHeight="1" x14ac:dyDescent="0.25">
      <c r="A451" s="153">
        <v>450</v>
      </c>
      <c r="B451" s="153" t="s">
        <v>788</v>
      </c>
      <c r="C451" s="153" t="s">
        <v>331</v>
      </c>
      <c r="D451" s="153" t="s">
        <v>328</v>
      </c>
      <c r="E451" s="153" t="s">
        <v>383</v>
      </c>
      <c r="F451" s="153" t="s">
        <v>346</v>
      </c>
      <c r="G451" s="153" t="s">
        <v>504</v>
      </c>
      <c r="H451" s="153" t="s">
        <v>330</v>
      </c>
      <c r="I451" s="153" t="s">
        <v>337</v>
      </c>
      <c r="J451" s="153" t="s">
        <v>329</v>
      </c>
      <c r="K451" s="153" t="s">
        <v>335</v>
      </c>
    </row>
    <row r="452" spans="1:11" ht="15.75" customHeight="1" x14ac:dyDescent="0.25">
      <c r="A452" s="153">
        <v>451</v>
      </c>
      <c r="B452" s="153" t="s">
        <v>789</v>
      </c>
      <c r="C452" s="153" t="s">
        <v>346</v>
      </c>
      <c r="D452" s="153" t="s">
        <v>332</v>
      </c>
      <c r="E452" s="153" t="s">
        <v>383</v>
      </c>
      <c r="F452" s="153" t="s">
        <v>337</v>
      </c>
      <c r="G452" s="153" t="s">
        <v>504</v>
      </c>
      <c r="H452" s="153" t="s">
        <v>330</v>
      </c>
      <c r="I452" s="153" t="s">
        <v>333</v>
      </c>
      <c r="J452" s="153" t="s">
        <v>334</v>
      </c>
      <c r="K452" s="153" t="s">
        <v>335</v>
      </c>
    </row>
    <row r="453" spans="1:11" ht="15.75" customHeight="1" x14ac:dyDescent="0.25">
      <c r="A453" s="153">
        <v>452</v>
      </c>
      <c r="B453" s="153" t="s">
        <v>790</v>
      </c>
      <c r="C453" s="153" t="s">
        <v>346</v>
      </c>
      <c r="D453" s="153" t="s">
        <v>332</v>
      </c>
      <c r="E453" s="153" t="s">
        <v>383</v>
      </c>
      <c r="F453" s="153" t="s">
        <v>337</v>
      </c>
      <c r="G453" s="153" t="s">
        <v>504</v>
      </c>
      <c r="H453" s="153" t="s">
        <v>330</v>
      </c>
      <c r="I453" s="153" t="s">
        <v>333</v>
      </c>
      <c r="J453" s="153" t="s">
        <v>328</v>
      </c>
      <c r="K453" s="153" t="s">
        <v>335</v>
      </c>
    </row>
    <row r="454" spans="1:11" ht="15.75" customHeight="1" x14ac:dyDescent="0.25">
      <c r="A454" s="153">
        <v>453</v>
      </c>
      <c r="B454" s="153" t="s">
        <v>791</v>
      </c>
      <c r="C454" s="153" t="s">
        <v>346</v>
      </c>
      <c r="D454" s="153" t="s">
        <v>332</v>
      </c>
      <c r="E454" s="153" t="s">
        <v>383</v>
      </c>
      <c r="F454" s="153" t="s">
        <v>337</v>
      </c>
      <c r="G454" s="153" t="s">
        <v>504</v>
      </c>
      <c r="H454" s="153" t="s">
        <v>330</v>
      </c>
      <c r="I454" s="153" t="s">
        <v>328</v>
      </c>
      <c r="J454" s="153" t="s">
        <v>334</v>
      </c>
      <c r="K454" s="153" t="s">
        <v>335</v>
      </c>
    </row>
    <row r="455" spans="1:11" ht="15.75" customHeight="1" x14ac:dyDescent="0.25">
      <c r="A455" s="153">
        <v>454</v>
      </c>
      <c r="B455" s="153" t="s">
        <v>792</v>
      </c>
      <c r="C455" s="153" t="s">
        <v>346</v>
      </c>
      <c r="D455" s="153" t="s">
        <v>332</v>
      </c>
      <c r="E455" s="153" t="s">
        <v>383</v>
      </c>
      <c r="F455" s="153" t="s">
        <v>337</v>
      </c>
      <c r="G455" s="153" t="s">
        <v>504</v>
      </c>
      <c r="H455" s="153" t="s">
        <v>330</v>
      </c>
      <c r="I455" s="153" t="s">
        <v>333</v>
      </c>
      <c r="J455" s="153" t="s">
        <v>329</v>
      </c>
      <c r="K455" s="153" t="s">
        <v>335</v>
      </c>
    </row>
    <row r="456" spans="1:11" ht="15.75" customHeight="1" x14ac:dyDescent="0.25">
      <c r="A456" s="153">
        <v>455</v>
      </c>
      <c r="B456" s="153" t="s">
        <v>793</v>
      </c>
      <c r="C456" s="153" t="s">
        <v>346</v>
      </c>
      <c r="D456" s="153" t="s">
        <v>332</v>
      </c>
      <c r="E456" s="153" t="s">
        <v>383</v>
      </c>
      <c r="F456" s="153" t="s">
        <v>337</v>
      </c>
      <c r="G456" s="153" t="s">
        <v>504</v>
      </c>
      <c r="H456" s="153" t="s">
        <v>330</v>
      </c>
      <c r="I456" s="153" t="s">
        <v>329</v>
      </c>
      <c r="J456" s="153" t="s">
        <v>334</v>
      </c>
      <c r="K456" s="153" t="s">
        <v>335</v>
      </c>
    </row>
    <row r="457" spans="1:11" ht="15.75" customHeight="1" x14ac:dyDescent="0.25">
      <c r="A457" s="153">
        <v>456</v>
      </c>
      <c r="B457" s="153" t="s">
        <v>794</v>
      </c>
      <c r="C457" s="153" t="s">
        <v>346</v>
      </c>
      <c r="D457" s="153" t="s">
        <v>332</v>
      </c>
      <c r="E457" s="153" t="s">
        <v>383</v>
      </c>
      <c r="F457" s="153" t="s">
        <v>337</v>
      </c>
      <c r="G457" s="153" t="s">
        <v>504</v>
      </c>
      <c r="H457" s="153" t="s">
        <v>330</v>
      </c>
      <c r="I457" s="153" t="s">
        <v>329</v>
      </c>
      <c r="J457" s="153" t="s">
        <v>328</v>
      </c>
      <c r="K457" s="153" t="s">
        <v>335</v>
      </c>
    </row>
    <row r="458" spans="1:11" ht="15.75" customHeight="1" x14ac:dyDescent="0.25">
      <c r="A458" s="153">
        <v>457</v>
      </c>
      <c r="B458" s="153" t="s">
        <v>795</v>
      </c>
      <c r="C458" s="153" t="s">
        <v>346</v>
      </c>
      <c r="D458" s="153" t="s">
        <v>332</v>
      </c>
      <c r="E458" s="153" t="s">
        <v>383</v>
      </c>
      <c r="F458" s="153" t="s">
        <v>337</v>
      </c>
      <c r="G458" s="153" t="s">
        <v>504</v>
      </c>
      <c r="H458" s="153" t="s">
        <v>330</v>
      </c>
      <c r="I458" s="153" t="s">
        <v>333</v>
      </c>
      <c r="J458" s="153" t="s">
        <v>331</v>
      </c>
      <c r="K458" s="153" t="s">
        <v>335</v>
      </c>
    </row>
    <row r="459" spans="1:11" ht="15.75" customHeight="1" x14ac:dyDescent="0.25">
      <c r="A459" s="153">
        <v>458</v>
      </c>
      <c r="B459" s="153" t="s">
        <v>796</v>
      </c>
      <c r="C459" s="153" t="s">
        <v>331</v>
      </c>
      <c r="D459" s="153" t="s">
        <v>332</v>
      </c>
      <c r="E459" s="153" t="s">
        <v>383</v>
      </c>
      <c r="F459" s="153" t="s">
        <v>346</v>
      </c>
      <c r="G459" s="153" t="s">
        <v>504</v>
      </c>
      <c r="H459" s="153" t="s">
        <v>330</v>
      </c>
      <c r="I459" s="153" t="s">
        <v>337</v>
      </c>
      <c r="J459" s="153" t="s">
        <v>334</v>
      </c>
      <c r="K459" s="153" t="s">
        <v>335</v>
      </c>
    </row>
    <row r="460" spans="1:11" ht="15.75" customHeight="1" x14ac:dyDescent="0.25">
      <c r="A460" s="153">
        <v>459</v>
      </c>
      <c r="B460" s="153" t="s">
        <v>797</v>
      </c>
      <c r="C460" s="153" t="s">
        <v>331</v>
      </c>
      <c r="D460" s="153" t="s">
        <v>332</v>
      </c>
      <c r="E460" s="153" t="s">
        <v>383</v>
      </c>
      <c r="F460" s="153" t="s">
        <v>346</v>
      </c>
      <c r="G460" s="153" t="s">
        <v>504</v>
      </c>
      <c r="H460" s="153" t="s">
        <v>330</v>
      </c>
      <c r="I460" s="153" t="s">
        <v>337</v>
      </c>
      <c r="J460" s="153" t="s">
        <v>328</v>
      </c>
      <c r="K460" s="153" t="s">
        <v>335</v>
      </c>
    </row>
    <row r="461" spans="1:11" ht="15.75" customHeight="1" x14ac:dyDescent="0.25">
      <c r="A461" s="153">
        <v>460</v>
      </c>
      <c r="B461" s="153" t="s">
        <v>798</v>
      </c>
      <c r="C461" s="153" t="s">
        <v>331</v>
      </c>
      <c r="D461" s="153" t="s">
        <v>332</v>
      </c>
      <c r="E461" s="153" t="s">
        <v>383</v>
      </c>
      <c r="F461" s="153" t="s">
        <v>346</v>
      </c>
      <c r="G461" s="153" t="s">
        <v>504</v>
      </c>
      <c r="H461" s="153" t="s">
        <v>330</v>
      </c>
      <c r="I461" s="153" t="s">
        <v>337</v>
      </c>
      <c r="J461" s="153" t="s">
        <v>329</v>
      </c>
      <c r="K461" s="153" t="s">
        <v>335</v>
      </c>
    </row>
    <row r="462" spans="1:11" ht="15.75" customHeight="1" x14ac:dyDescent="0.25">
      <c r="A462" s="153">
        <v>461</v>
      </c>
      <c r="B462" s="153" t="s">
        <v>799</v>
      </c>
      <c r="C462" s="153" t="s">
        <v>327</v>
      </c>
      <c r="D462" s="153" t="s">
        <v>328</v>
      </c>
      <c r="E462" s="153" t="s">
        <v>383</v>
      </c>
      <c r="F462" s="153" t="s">
        <v>346</v>
      </c>
      <c r="G462" s="153" t="s">
        <v>504</v>
      </c>
      <c r="H462" s="153" t="s">
        <v>337</v>
      </c>
      <c r="I462" s="153" t="s">
        <v>333</v>
      </c>
      <c r="J462" s="153" t="s">
        <v>334</v>
      </c>
      <c r="K462" s="153" t="s">
        <v>335</v>
      </c>
    </row>
    <row r="463" spans="1:11" ht="15.75" customHeight="1" x14ac:dyDescent="0.25">
      <c r="A463" s="153">
        <v>462</v>
      </c>
      <c r="B463" s="153" t="s">
        <v>800</v>
      </c>
      <c r="C463" s="153" t="s">
        <v>327</v>
      </c>
      <c r="D463" s="153" t="s">
        <v>329</v>
      </c>
      <c r="E463" s="153" t="s">
        <v>383</v>
      </c>
      <c r="F463" s="153" t="s">
        <v>346</v>
      </c>
      <c r="G463" s="153" t="s">
        <v>504</v>
      </c>
      <c r="H463" s="153" t="s">
        <v>337</v>
      </c>
      <c r="I463" s="153" t="s">
        <v>333</v>
      </c>
      <c r="J463" s="153" t="s">
        <v>334</v>
      </c>
      <c r="K463" s="153" t="s">
        <v>335</v>
      </c>
    </row>
    <row r="464" spans="1:11" ht="15.75" customHeight="1" x14ac:dyDescent="0.25">
      <c r="A464" s="153">
        <v>463</v>
      </c>
      <c r="B464" s="153" t="s">
        <v>801</v>
      </c>
      <c r="C464" s="153" t="s">
        <v>327</v>
      </c>
      <c r="D464" s="153" t="s">
        <v>328</v>
      </c>
      <c r="E464" s="153" t="s">
        <v>383</v>
      </c>
      <c r="F464" s="153" t="s">
        <v>346</v>
      </c>
      <c r="G464" s="153" t="s">
        <v>504</v>
      </c>
      <c r="H464" s="153" t="s">
        <v>337</v>
      </c>
      <c r="I464" s="153" t="s">
        <v>333</v>
      </c>
      <c r="J464" s="153" t="s">
        <v>329</v>
      </c>
      <c r="K464" s="153" t="s">
        <v>335</v>
      </c>
    </row>
    <row r="465" spans="1:11" ht="15.75" customHeight="1" x14ac:dyDescent="0.25">
      <c r="A465" s="153">
        <v>464</v>
      </c>
      <c r="B465" s="153" t="s">
        <v>802</v>
      </c>
      <c r="C465" s="153" t="s">
        <v>327</v>
      </c>
      <c r="D465" s="153" t="s">
        <v>328</v>
      </c>
      <c r="E465" s="153" t="s">
        <v>383</v>
      </c>
      <c r="F465" s="153" t="s">
        <v>346</v>
      </c>
      <c r="G465" s="153" t="s">
        <v>504</v>
      </c>
      <c r="H465" s="153" t="s">
        <v>337</v>
      </c>
      <c r="I465" s="153" t="s">
        <v>329</v>
      </c>
      <c r="J465" s="153" t="s">
        <v>334</v>
      </c>
      <c r="K465" s="153" t="s">
        <v>335</v>
      </c>
    </row>
    <row r="466" spans="1:11" ht="15.75" customHeight="1" x14ac:dyDescent="0.25">
      <c r="A466" s="153">
        <v>465</v>
      </c>
      <c r="B466" s="153" t="s">
        <v>803</v>
      </c>
      <c r="C466" s="153" t="s">
        <v>331</v>
      </c>
      <c r="D466" s="153" t="s">
        <v>327</v>
      </c>
      <c r="E466" s="153" t="s">
        <v>383</v>
      </c>
      <c r="F466" s="153" t="s">
        <v>346</v>
      </c>
      <c r="G466" s="153" t="s">
        <v>504</v>
      </c>
      <c r="H466" s="153" t="s">
        <v>337</v>
      </c>
      <c r="I466" s="153" t="s">
        <v>333</v>
      </c>
      <c r="J466" s="153" t="s">
        <v>334</v>
      </c>
      <c r="K466" s="153" t="s">
        <v>335</v>
      </c>
    </row>
    <row r="467" spans="1:11" ht="15.75" customHeight="1" x14ac:dyDescent="0.25">
      <c r="A467" s="153">
        <v>466</v>
      </c>
      <c r="B467" s="153" t="s">
        <v>804</v>
      </c>
      <c r="C467" s="153" t="s">
        <v>331</v>
      </c>
      <c r="D467" s="153" t="s">
        <v>328</v>
      </c>
      <c r="E467" s="153" t="s">
        <v>383</v>
      </c>
      <c r="F467" s="153" t="s">
        <v>346</v>
      </c>
      <c r="G467" s="153" t="s">
        <v>504</v>
      </c>
      <c r="H467" s="153" t="s">
        <v>337</v>
      </c>
      <c r="I467" s="153" t="s">
        <v>333</v>
      </c>
      <c r="J467" s="153" t="s">
        <v>327</v>
      </c>
      <c r="K467" s="153" t="s">
        <v>335</v>
      </c>
    </row>
    <row r="468" spans="1:11" ht="15.75" customHeight="1" x14ac:dyDescent="0.25">
      <c r="A468" s="153">
        <v>467</v>
      </c>
      <c r="B468" s="153" t="s">
        <v>805</v>
      </c>
      <c r="C468" s="153" t="s">
        <v>331</v>
      </c>
      <c r="D468" s="153" t="s">
        <v>328</v>
      </c>
      <c r="E468" s="153" t="s">
        <v>383</v>
      </c>
      <c r="F468" s="153" t="s">
        <v>346</v>
      </c>
      <c r="G468" s="153" t="s">
        <v>504</v>
      </c>
      <c r="H468" s="153" t="s">
        <v>337</v>
      </c>
      <c r="I468" s="153" t="s">
        <v>327</v>
      </c>
      <c r="J468" s="153" t="s">
        <v>334</v>
      </c>
      <c r="K468" s="153" t="s">
        <v>335</v>
      </c>
    </row>
    <row r="469" spans="1:11" ht="15.75" customHeight="1" x14ac:dyDescent="0.25">
      <c r="A469" s="153">
        <v>468</v>
      </c>
      <c r="B469" s="153" t="s">
        <v>806</v>
      </c>
      <c r="C469" s="153" t="s">
        <v>331</v>
      </c>
      <c r="D469" s="153" t="s">
        <v>327</v>
      </c>
      <c r="E469" s="153" t="s">
        <v>383</v>
      </c>
      <c r="F469" s="153" t="s">
        <v>346</v>
      </c>
      <c r="G469" s="153" t="s">
        <v>504</v>
      </c>
      <c r="H469" s="153" t="s">
        <v>337</v>
      </c>
      <c r="I469" s="153" t="s">
        <v>333</v>
      </c>
      <c r="J469" s="153" t="s">
        <v>329</v>
      </c>
      <c r="K469" s="153" t="s">
        <v>335</v>
      </c>
    </row>
    <row r="470" spans="1:11" ht="15.75" customHeight="1" x14ac:dyDescent="0.25">
      <c r="A470" s="153">
        <v>469</v>
      </c>
      <c r="B470" s="153" t="s">
        <v>807</v>
      </c>
      <c r="C470" s="153" t="s">
        <v>331</v>
      </c>
      <c r="D470" s="153" t="s">
        <v>327</v>
      </c>
      <c r="E470" s="153" t="s">
        <v>383</v>
      </c>
      <c r="F470" s="153" t="s">
        <v>346</v>
      </c>
      <c r="G470" s="153" t="s">
        <v>504</v>
      </c>
      <c r="H470" s="153" t="s">
        <v>337</v>
      </c>
      <c r="I470" s="153" t="s">
        <v>329</v>
      </c>
      <c r="J470" s="153" t="s">
        <v>334</v>
      </c>
      <c r="K470" s="153" t="s">
        <v>335</v>
      </c>
    </row>
    <row r="471" spans="1:11" ht="15.75" customHeight="1" x14ac:dyDescent="0.25">
      <c r="A471" s="153">
        <v>470</v>
      </c>
      <c r="B471" s="153" t="s">
        <v>808</v>
      </c>
      <c r="C471" s="153" t="s">
        <v>331</v>
      </c>
      <c r="D471" s="153" t="s">
        <v>328</v>
      </c>
      <c r="E471" s="153" t="s">
        <v>383</v>
      </c>
      <c r="F471" s="153" t="s">
        <v>346</v>
      </c>
      <c r="G471" s="153" t="s">
        <v>504</v>
      </c>
      <c r="H471" s="153" t="s">
        <v>337</v>
      </c>
      <c r="I471" s="153" t="s">
        <v>327</v>
      </c>
      <c r="J471" s="153" t="s">
        <v>329</v>
      </c>
      <c r="K471" s="153" t="s">
        <v>335</v>
      </c>
    </row>
    <row r="472" spans="1:11" ht="15.75" customHeight="1" x14ac:dyDescent="0.25">
      <c r="A472" s="153">
        <v>471</v>
      </c>
      <c r="B472" s="153" t="s">
        <v>809</v>
      </c>
      <c r="C472" s="153" t="s">
        <v>327</v>
      </c>
      <c r="D472" s="153" t="s">
        <v>332</v>
      </c>
      <c r="E472" s="153" t="s">
        <v>383</v>
      </c>
      <c r="F472" s="153" t="s">
        <v>346</v>
      </c>
      <c r="G472" s="153" t="s">
        <v>504</v>
      </c>
      <c r="H472" s="153" t="s">
        <v>337</v>
      </c>
      <c r="I472" s="153" t="s">
        <v>333</v>
      </c>
      <c r="J472" s="153" t="s">
        <v>334</v>
      </c>
      <c r="K472" s="153" t="s">
        <v>335</v>
      </c>
    </row>
    <row r="473" spans="1:11" ht="15.75" customHeight="1" x14ac:dyDescent="0.25">
      <c r="A473" s="153">
        <v>472</v>
      </c>
      <c r="B473" s="153" t="s">
        <v>810</v>
      </c>
      <c r="C473" s="153" t="s">
        <v>327</v>
      </c>
      <c r="D473" s="153" t="s">
        <v>332</v>
      </c>
      <c r="E473" s="153" t="s">
        <v>383</v>
      </c>
      <c r="F473" s="153" t="s">
        <v>346</v>
      </c>
      <c r="G473" s="153" t="s">
        <v>504</v>
      </c>
      <c r="H473" s="153" t="s">
        <v>337</v>
      </c>
      <c r="I473" s="153" t="s">
        <v>333</v>
      </c>
      <c r="J473" s="153" t="s">
        <v>328</v>
      </c>
      <c r="K473" s="153" t="s">
        <v>335</v>
      </c>
    </row>
    <row r="474" spans="1:11" ht="15.75" customHeight="1" x14ac:dyDescent="0.25">
      <c r="A474" s="153">
        <v>473</v>
      </c>
      <c r="B474" s="153" t="s">
        <v>811</v>
      </c>
      <c r="C474" s="153" t="s">
        <v>327</v>
      </c>
      <c r="D474" s="153" t="s">
        <v>332</v>
      </c>
      <c r="E474" s="153" t="s">
        <v>383</v>
      </c>
      <c r="F474" s="153" t="s">
        <v>346</v>
      </c>
      <c r="G474" s="153" t="s">
        <v>504</v>
      </c>
      <c r="H474" s="153" t="s">
        <v>337</v>
      </c>
      <c r="I474" s="153" t="s">
        <v>328</v>
      </c>
      <c r="J474" s="153" t="s">
        <v>334</v>
      </c>
      <c r="K474" s="153" t="s">
        <v>335</v>
      </c>
    </row>
    <row r="475" spans="1:11" ht="15.75" customHeight="1" x14ac:dyDescent="0.25">
      <c r="A475" s="153">
        <v>474</v>
      </c>
      <c r="B475" s="153" t="s">
        <v>812</v>
      </c>
      <c r="C475" s="153" t="s">
        <v>327</v>
      </c>
      <c r="D475" s="153" t="s">
        <v>332</v>
      </c>
      <c r="E475" s="153" t="s">
        <v>383</v>
      </c>
      <c r="F475" s="153" t="s">
        <v>346</v>
      </c>
      <c r="G475" s="153" t="s">
        <v>504</v>
      </c>
      <c r="H475" s="153" t="s">
        <v>337</v>
      </c>
      <c r="I475" s="153" t="s">
        <v>333</v>
      </c>
      <c r="J475" s="153" t="s">
        <v>329</v>
      </c>
      <c r="K475" s="153" t="s">
        <v>335</v>
      </c>
    </row>
    <row r="476" spans="1:11" ht="15.75" customHeight="1" x14ac:dyDescent="0.25">
      <c r="A476" s="153">
        <v>475</v>
      </c>
      <c r="B476" s="153" t="s">
        <v>813</v>
      </c>
      <c r="C476" s="153" t="s">
        <v>327</v>
      </c>
      <c r="D476" s="153" t="s">
        <v>332</v>
      </c>
      <c r="E476" s="153" t="s">
        <v>383</v>
      </c>
      <c r="F476" s="153" t="s">
        <v>346</v>
      </c>
      <c r="G476" s="153" t="s">
        <v>504</v>
      </c>
      <c r="H476" s="153" t="s">
        <v>337</v>
      </c>
      <c r="I476" s="153" t="s">
        <v>329</v>
      </c>
      <c r="J476" s="153" t="s">
        <v>334</v>
      </c>
      <c r="K476" s="153" t="s">
        <v>335</v>
      </c>
    </row>
    <row r="477" spans="1:11" ht="15.75" customHeight="1" x14ac:dyDescent="0.25">
      <c r="A477" s="153">
        <v>476</v>
      </c>
      <c r="B477" s="153" t="s">
        <v>814</v>
      </c>
      <c r="C477" s="153" t="s">
        <v>327</v>
      </c>
      <c r="D477" s="153" t="s">
        <v>332</v>
      </c>
      <c r="E477" s="153" t="s">
        <v>383</v>
      </c>
      <c r="F477" s="153" t="s">
        <v>346</v>
      </c>
      <c r="G477" s="153" t="s">
        <v>504</v>
      </c>
      <c r="H477" s="153" t="s">
        <v>337</v>
      </c>
      <c r="I477" s="153" t="s">
        <v>329</v>
      </c>
      <c r="J477" s="153" t="s">
        <v>328</v>
      </c>
      <c r="K477" s="153" t="s">
        <v>335</v>
      </c>
    </row>
    <row r="478" spans="1:11" ht="15.75" customHeight="1" x14ac:dyDescent="0.25">
      <c r="A478" s="153">
        <v>477</v>
      </c>
      <c r="B478" s="153" t="s">
        <v>815</v>
      </c>
      <c r="C478" s="153" t="s">
        <v>331</v>
      </c>
      <c r="D478" s="153" t="s">
        <v>332</v>
      </c>
      <c r="E478" s="153" t="s">
        <v>383</v>
      </c>
      <c r="F478" s="153" t="s">
        <v>346</v>
      </c>
      <c r="G478" s="153" t="s">
        <v>504</v>
      </c>
      <c r="H478" s="153" t="s">
        <v>337</v>
      </c>
      <c r="I478" s="153" t="s">
        <v>333</v>
      </c>
      <c r="J478" s="153" t="s">
        <v>327</v>
      </c>
      <c r="K478" s="153" t="s">
        <v>335</v>
      </c>
    </row>
    <row r="479" spans="1:11" ht="15.75" customHeight="1" x14ac:dyDescent="0.25">
      <c r="A479" s="153">
        <v>478</v>
      </c>
      <c r="B479" s="153" t="s">
        <v>816</v>
      </c>
      <c r="C479" s="153" t="s">
        <v>331</v>
      </c>
      <c r="D479" s="153" t="s">
        <v>332</v>
      </c>
      <c r="E479" s="153" t="s">
        <v>383</v>
      </c>
      <c r="F479" s="153" t="s">
        <v>346</v>
      </c>
      <c r="G479" s="153" t="s">
        <v>504</v>
      </c>
      <c r="H479" s="153" t="s">
        <v>337</v>
      </c>
      <c r="I479" s="153" t="s">
        <v>327</v>
      </c>
      <c r="J479" s="153" t="s">
        <v>334</v>
      </c>
      <c r="K479" s="153" t="s">
        <v>335</v>
      </c>
    </row>
    <row r="480" spans="1:11" ht="15.75" customHeight="1" x14ac:dyDescent="0.25">
      <c r="A480" s="153">
        <v>479</v>
      </c>
      <c r="B480" s="153" t="s">
        <v>817</v>
      </c>
      <c r="C480" s="153" t="s">
        <v>331</v>
      </c>
      <c r="D480" s="153" t="s">
        <v>332</v>
      </c>
      <c r="E480" s="153" t="s">
        <v>383</v>
      </c>
      <c r="F480" s="153" t="s">
        <v>346</v>
      </c>
      <c r="G480" s="153" t="s">
        <v>504</v>
      </c>
      <c r="H480" s="153" t="s">
        <v>337</v>
      </c>
      <c r="I480" s="153" t="s">
        <v>327</v>
      </c>
      <c r="J480" s="153" t="s">
        <v>328</v>
      </c>
      <c r="K480" s="153" t="s">
        <v>335</v>
      </c>
    </row>
    <row r="481" spans="1:11" ht="15.75" customHeight="1" x14ac:dyDescent="0.25">
      <c r="A481" s="153">
        <v>480</v>
      </c>
      <c r="B481" s="153" t="s">
        <v>818</v>
      </c>
      <c r="C481" s="153" t="s">
        <v>331</v>
      </c>
      <c r="D481" s="153" t="s">
        <v>332</v>
      </c>
      <c r="E481" s="153" t="s">
        <v>383</v>
      </c>
      <c r="F481" s="153" t="s">
        <v>346</v>
      </c>
      <c r="G481" s="153" t="s">
        <v>504</v>
      </c>
      <c r="H481" s="153" t="s">
        <v>337</v>
      </c>
      <c r="I481" s="153" t="s">
        <v>327</v>
      </c>
      <c r="J481" s="153" t="s">
        <v>329</v>
      </c>
      <c r="K481" s="153" t="s">
        <v>335</v>
      </c>
    </row>
    <row r="482" spans="1:11" ht="15.75" customHeight="1" x14ac:dyDescent="0.25">
      <c r="A482" s="153">
        <v>481</v>
      </c>
      <c r="B482" s="153" t="s">
        <v>819</v>
      </c>
      <c r="C482" s="153" t="s">
        <v>346</v>
      </c>
      <c r="D482" s="153" t="s">
        <v>327</v>
      </c>
      <c r="E482" s="153" t="s">
        <v>383</v>
      </c>
      <c r="F482" s="153" t="s">
        <v>337</v>
      </c>
      <c r="G482" s="153" t="s">
        <v>504</v>
      </c>
      <c r="H482" s="153" t="s">
        <v>330</v>
      </c>
      <c r="I482" s="153" t="s">
        <v>333</v>
      </c>
      <c r="J482" s="153" t="s">
        <v>334</v>
      </c>
      <c r="K482" s="153" t="s">
        <v>335</v>
      </c>
    </row>
    <row r="483" spans="1:11" ht="15.75" customHeight="1" x14ac:dyDescent="0.25">
      <c r="A483" s="153">
        <v>482</v>
      </c>
      <c r="B483" s="153" t="s">
        <v>820</v>
      </c>
      <c r="C483" s="153" t="s">
        <v>346</v>
      </c>
      <c r="D483" s="153" t="s">
        <v>328</v>
      </c>
      <c r="E483" s="153" t="s">
        <v>383</v>
      </c>
      <c r="F483" s="153" t="s">
        <v>337</v>
      </c>
      <c r="G483" s="153" t="s">
        <v>504</v>
      </c>
      <c r="H483" s="153" t="s">
        <v>330</v>
      </c>
      <c r="I483" s="153" t="s">
        <v>333</v>
      </c>
      <c r="J483" s="153" t="s">
        <v>327</v>
      </c>
      <c r="K483" s="153" t="s">
        <v>335</v>
      </c>
    </row>
    <row r="484" spans="1:11" ht="15.75" customHeight="1" x14ac:dyDescent="0.25">
      <c r="A484" s="153">
        <v>483</v>
      </c>
      <c r="B484" s="153" t="s">
        <v>821</v>
      </c>
      <c r="C484" s="153" t="s">
        <v>346</v>
      </c>
      <c r="D484" s="153" t="s">
        <v>328</v>
      </c>
      <c r="E484" s="153" t="s">
        <v>383</v>
      </c>
      <c r="F484" s="153" t="s">
        <v>337</v>
      </c>
      <c r="G484" s="153" t="s">
        <v>504</v>
      </c>
      <c r="H484" s="153" t="s">
        <v>330</v>
      </c>
      <c r="I484" s="153" t="s">
        <v>327</v>
      </c>
      <c r="J484" s="153" t="s">
        <v>334</v>
      </c>
      <c r="K484" s="153" t="s">
        <v>335</v>
      </c>
    </row>
    <row r="485" spans="1:11" ht="15.75" customHeight="1" x14ac:dyDescent="0.25">
      <c r="A485" s="153">
        <v>484</v>
      </c>
      <c r="B485" s="153" t="s">
        <v>822</v>
      </c>
      <c r="C485" s="153" t="s">
        <v>346</v>
      </c>
      <c r="D485" s="153" t="s">
        <v>327</v>
      </c>
      <c r="E485" s="153" t="s">
        <v>383</v>
      </c>
      <c r="F485" s="153" t="s">
        <v>337</v>
      </c>
      <c r="G485" s="153" t="s">
        <v>504</v>
      </c>
      <c r="H485" s="153" t="s">
        <v>330</v>
      </c>
      <c r="I485" s="153" t="s">
        <v>333</v>
      </c>
      <c r="J485" s="153" t="s">
        <v>329</v>
      </c>
      <c r="K485" s="153" t="s">
        <v>335</v>
      </c>
    </row>
    <row r="486" spans="1:11" ht="15.75" customHeight="1" x14ac:dyDescent="0.25">
      <c r="A486" s="153">
        <v>485</v>
      </c>
      <c r="B486" s="153" t="s">
        <v>823</v>
      </c>
      <c r="C486" s="153" t="s">
        <v>346</v>
      </c>
      <c r="D486" s="153" t="s">
        <v>327</v>
      </c>
      <c r="E486" s="153" t="s">
        <v>383</v>
      </c>
      <c r="F486" s="153" t="s">
        <v>337</v>
      </c>
      <c r="G486" s="153" t="s">
        <v>504</v>
      </c>
      <c r="H486" s="153" t="s">
        <v>330</v>
      </c>
      <c r="I486" s="153" t="s">
        <v>329</v>
      </c>
      <c r="J486" s="153" t="s">
        <v>334</v>
      </c>
      <c r="K486" s="153" t="s">
        <v>335</v>
      </c>
    </row>
    <row r="487" spans="1:11" ht="15.75" customHeight="1" x14ac:dyDescent="0.25">
      <c r="A487" s="153">
        <v>486</v>
      </c>
      <c r="B487" s="153" t="s">
        <v>824</v>
      </c>
      <c r="C487" s="153" t="s">
        <v>346</v>
      </c>
      <c r="D487" s="153" t="s">
        <v>328</v>
      </c>
      <c r="E487" s="153" t="s">
        <v>383</v>
      </c>
      <c r="F487" s="153" t="s">
        <v>337</v>
      </c>
      <c r="G487" s="153" t="s">
        <v>504</v>
      </c>
      <c r="H487" s="153" t="s">
        <v>330</v>
      </c>
      <c r="I487" s="153" t="s">
        <v>327</v>
      </c>
      <c r="J487" s="153" t="s">
        <v>329</v>
      </c>
      <c r="K487" s="153" t="s">
        <v>335</v>
      </c>
    </row>
    <row r="488" spans="1:11" ht="15.75" customHeight="1" x14ac:dyDescent="0.25">
      <c r="A488" s="153">
        <v>487</v>
      </c>
      <c r="B488" s="153" t="s">
        <v>825</v>
      </c>
      <c r="C488" s="153" t="s">
        <v>331</v>
      </c>
      <c r="D488" s="153" t="s">
        <v>330</v>
      </c>
      <c r="E488" s="153" t="s">
        <v>383</v>
      </c>
      <c r="F488" s="153" t="s">
        <v>346</v>
      </c>
      <c r="G488" s="153" t="s">
        <v>504</v>
      </c>
      <c r="H488" s="153" t="s">
        <v>337</v>
      </c>
      <c r="I488" s="153" t="s">
        <v>333</v>
      </c>
      <c r="J488" s="153" t="s">
        <v>327</v>
      </c>
      <c r="K488" s="153" t="s">
        <v>335</v>
      </c>
    </row>
    <row r="489" spans="1:11" ht="15.75" customHeight="1" x14ac:dyDescent="0.25">
      <c r="A489" s="153">
        <v>488</v>
      </c>
      <c r="B489" s="153" t="s">
        <v>826</v>
      </c>
      <c r="C489" s="153" t="s">
        <v>331</v>
      </c>
      <c r="D489" s="153" t="s">
        <v>327</v>
      </c>
      <c r="E489" s="153" t="s">
        <v>383</v>
      </c>
      <c r="F489" s="153" t="s">
        <v>346</v>
      </c>
      <c r="G489" s="153" t="s">
        <v>504</v>
      </c>
      <c r="H489" s="153" t="s">
        <v>330</v>
      </c>
      <c r="I489" s="153" t="s">
        <v>337</v>
      </c>
      <c r="J489" s="153" t="s">
        <v>334</v>
      </c>
      <c r="K489" s="153" t="s">
        <v>335</v>
      </c>
    </row>
    <row r="490" spans="1:11" ht="15.75" customHeight="1" x14ac:dyDescent="0.25">
      <c r="A490" s="153">
        <v>489</v>
      </c>
      <c r="B490" s="153" t="s">
        <v>827</v>
      </c>
      <c r="C490" s="153" t="s">
        <v>331</v>
      </c>
      <c r="D490" s="153" t="s">
        <v>328</v>
      </c>
      <c r="E490" s="153" t="s">
        <v>383</v>
      </c>
      <c r="F490" s="153" t="s">
        <v>346</v>
      </c>
      <c r="G490" s="153" t="s">
        <v>504</v>
      </c>
      <c r="H490" s="153" t="s">
        <v>330</v>
      </c>
      <c r="I490" s="153" t="s">
        <v>337</v>
      </c>
      <c r="J490" s="153" t="s">
        <v>327</v>
      </c>
      <c r="K490" s="153" t="s">
        <v>335</v>
      </c>
    </row>
    <row r="491" spans="1:11" ht="15.75" customHeight="1" x14ac:dyDescent="0.25">
      <c r="A491" s="153">
        <v>490</v>
      </c>
      <c r="B491" s="153" t="s">
        <v>828</v>
      </c>
      <c r="C491" s="153" t="s">
        <v>331</v>
      </c>
      <c r="D491" s="153" t="s">
        <v>327</v>
      </c>
      <c r="E491" s="153" t="s">
        <v>383</v>
      </c>
      <c r="F491" s="153" t="s">
        <v>346</v>
      </c>
      <c r="G491" s="153" t="s">
        <v>504</v>
      </c>
      <c r="H491" s="153" t="s">
        <v>330</v>
      </c>
      <c r="I491" s="153" t="s">
        <v>337</v>
      </c>
      <c r="J491" s="153" t="s">
        <v>329</v>
      </c>
      <c r="K491" s="153" t="s">
        <v>335</v>
      </c>
    </row>
    <row r="492" spans="1:11" ht="15.75" customHeight="1" x14ac:dyDescent="0.25">
      <c r="A492" s="153">
        <v>491</v>
      </c>
      <c r="B492" s="153" t="s">
        <v>829</v>
      </c>
      <c r="C492" s="153" t="s">
        <v>346</v>
      </c>
      <c r="D492" s="153" t="s">
        <v>332</v>
      </c>
      <c r="E492" s="153" t="s">
        <v>383</v>
      </c>
      <c r="F492" s="153" t="s">
        <v>337</v>
      </c>
      <c r="G492" s="153" t="s">
        <v>504</v>
      </c>
      <c r="H492" s="153" t="s">
        <v>330</v>
      </c>
      <c r="I492" s="153" t="s">
        <v>333</v>
      </c>
      <c r="J492" s="153" t="s">
        <v>327</v>
      </c>
      <c r="K492" s="153" t="s">
        <v>335</v>
      </c>
    </row>
    <row r="493" spans="1:11" ht="15.75" customHeight="1" x14ac:dyDescent="0.25">
      <c r="A493" s="153">
        <v>492</v>
      </c>
      <c r="B493" s="153" t="s">
        <v>830</v>
      </c>
      <c r="C493" s="153" t="s">
        <v>346</v>
      </c>
      <c r="D493" s="153" t="s">
        <v>332</v>
      </c>
      <c r="E493" s="153" t="s">
        <v>383</v>
      </c>
      <c r="F493" s="153" t="s">
        <v>337</v>
      </c>
      <c r="G493" s="153" t="s">
        <v>504</v>
      </c>
      <c r="H493" s="153" t="s">
        <v>330</v>
      </c>
      <c r="I493" s="153" t="s">
        <v>327</v>
      </c>
      <c r="J493" s="153" t="s">
        <v>334</v>
      </c>
      <c r="K493" s="153" t="s">
        <v>335</v>
      </c>
    </row>
    <row r="494" spans="1:11" ht="15.75" customHeight="1" x14ac:dyDescent="0.25">
      <c r="A494" s="153">
        <v>493</v>
      </c>
      <c r="B494" s="153" t="s">
        <v>831</v>
      </c>
      <c r="C494" s="153" t="s">
        <v>346</v>
      </c>
      <c r="D494" s="153" t="s">
        <v>332</v>
      </c>
      <c r="E494" s="153" t="s">
        <v>383</v>
      </c>
      <c r="F494" s="153" t="s">
        <v>337</v>
      </c>
      <c r="G494" s="153" t="s">
        <v>504</v>
      </c>
      <c r="H494" s="153" t="s">
        <v>330</v>
      </c>
      <c r="I494" s="153" t="s">
        <v>327</v>
      </c>
      <c r="J494" s="153" t="s">
        <v>328</v>
      </c>
      <c r="K494" s="153" t="s">
        <v>335</v>
      </c>
    </row>
    <row r="495" spans="1:11" ht="15.75" customHeight="1" x14ac:dyDescent="0.25">
      <c r="A495" s="153">
        <v>494</v>
      </c>
      <c r="B495" s="153" t="s">
        <v>832</v>
      </c>
      <c r="C495" s="153" t="s">
        <v>346</v>
      </c>
      <c r="D495" s="153" t="s">
        <v>332</v>
      </c>
      <c r="E495" s="153" t="s">
        <v>383</v>
      </c>
      <c r="F495" s="153" t="s">
        <v>337</v>
      </c>
      <c r="G495" s="153" t="s">
        <v>504</v>
      </c>
      <c r="H495" s="153" t="s">
        <v>330</v>
      </c>
      <c r="I495" s="153" t="s">
        <v>327</v>
      </c>
      <c r="J495" s="153" t="s">
        <v>329</v>
      </c>
      <c r="K495" s="153" t="s">
        <v>335</v>
      </c>
    </row>
    <row r="496" spans="1:11" ht="15.75" customHeight="1" x14ac:dyDescent="0.25">
      <c r="A496" s="153">
        <v>495</v>
      </c>
      <c r="B496" s="153" t="s">
        <v>833</v>
      </c>
      <c r="C496" s="153" t="s">
        <v>331</v>
      </c>
      <c r="D496" s="153" t="s">
        <v>332</v>
      </c>
      <c r="E496" s="153" t="s">
        <v>383</v>
      </c>
      <c r="F496" s="153" t="s">
        <v>346</v>
      </c>
      <c r="G496" s="153" t="s">
        <v>504</v>
      </c>
      <c r="H496" s="153" t="s">
        <v>330</v>
      </c>
      <c r="I496" s="153" t="s">
        <v>337</v>
      </c>
      <c r="J496" s="153" t="s">
        <v>327</v>
      </c>
      <c r="K496" s="153" t="s">
        <v>335</v>
      </c>
    </row>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A1000"/>
  <sheetViews>
    <sheetView workbookViewId="0"/>
  </sheetViews>
  <sheetFormatPr defaultColWidth="14.42578125" defaultRowHeight="15" customHeight="1" x14ac:dyDescent="0.25"/>
  <cols>
    <col min="1" max="4" width="8.7109375" customWidth="1"/>
    <col min="5" max="5" width="13.140625" customWidth="1"/>
    <col min="6" max="7" width="8.7109375" customWidth="1"/>
    <col min="8" max="8" width="11" customWidth="1"/>
    <col min="9" max="18" width="8.7109375" customWidth="1"/>
    <col min="19" max="56" width="13" hidden="1" customWidth="1"/>
    <col min="57" max="57" width="8.7109375" customWidth="1"/>
    <col min="58" max="67" width="14" customWidth="1"/>
    <col min="68" max="79" width="8.7109375" customWidth="1"/>
  </cols>
  <sheetData>
    <row r="1" spans="1:79" x14ac:dyDescent="0.25">
      <c r="A1" s="153" t="s">
        <v>834</v>
      </c>
      <c r="C1" s="153" t="s">
        <v>835</v>
      </c>
      <c r="E1" s="1" t="s">
        <v>836</v>
      </c>
      <c r="F1" s="1"/>
      <c r="G1" s="1"/>
      <c r="H1" s="1" t="s">
        <v>837</v>
      </c>
      <c r="I1" s="1" t="s">
        <v>838</v>
      </c>
      <c r="J1" s="1" t="s">
        <v>839</v>
      </c>
      <c r="K1" s="1" t="s">
        <v>840</v>
      </c>
      <c r="L1" s="1" t="s">
        <v>841</v>
      </c>
      <c r="M1" s="1" t="s">
        <v>842</v>
      </c>
      <c r="N1" s="1" t="s">
        <v>843</v>
      </c>
      <c r="O1" s="1" t="s">
        <v>844</v>
      </c>
      <c r="P1" s="1"/>
      <c r="Q1" s="1"/>
      <c r="R1" s="1"/>
      <c r="S1" s="1"/>
      <c r="T1" s="1" t="s">
        <v>105</v>
      </c>
      <c r="U1" s="1" t="s">
        <v>112</v>
      </c>
      <c r="V1" s="1" t="s">
        <v>95</v>
      </c>
      <c r="W1" s="1" t="s">
        <v>100</v>
      </c>
      <c r="X1" s="1" t="s">
        <v>96</v>
      </c>
      <c r="Y1" s="1" t="s">
        <v>101</v>
      </c>
      <c r="Z1" s="1" t="s">
        <v>107</v>
      </c>
      <c r="AA1" s="1" t="s">
        <v>113</v>
      </c>
      <c r="AB1" s="1" t="s">
        <v>117</v>
      </c>
      <c r="AC1" s="1" t="s">
        <v>123</v>
      </c>
      <c r="AD1" s="1" t="s">
        <v>128</v>
      </c>
      <c r="AE1" s="1" t="s">
        <v>132</v>
      </c>
      <c r="AF1" s="1" t="s">
        <v>118</v>
      </c>
      <c r="AG1" s="1" t="s">
        <v>125</v>
      </c>
      <c r="AH1" s="1" t="s">
        <v>129</v>
      </c>
      <c r="AI1" s="1" t="s">
        <v>133</v>
      </c>
      <c r="AJ1" s="1" t="s">
        <v>98</v>
      </c>
      <c r="AK1" s="1" t="s">
        <v>108</v>
      </c>
      <c r="AL1" s="1" t="s">
        <v>99</v>
      </c>
      <c r="AM1" s="1" t="s">
        <v>109</v>
      </c>
      <c r="AN1" s="1" t="s">
        <v>120</v>
      </c>
      <c r="AO1" s="1" t="s">
        <v>130</v>
      </c>
      <c r="AP1" s="1" t="s">
        <v>122</v>
      </c>
      <c r="AQ1" s="1" t="s">
        <v>131</v>
      </c>
      <c r="AR1" s="1" t="s">
        <v>103</v>
      </c>
      <c r="AS1" s="1" t="s">
        <v>126</v>
      </c>
      <c r="AT1" s="1" t="s">
        <v>104</v>
      </c>
      <c r="AU1" s="1" t="s">
        <v>127</v>
      </c>
      <c r="AV1" s="1" t="s">
        <v>115</v>
      </c>
      <c r="AW1" s="1" t="s">
        <v>116</v>
      </c>
      <c r="AX1" s="1" t="s">
        <v>845</v>
      </c>
      <c r="AY1" s="1"/>
      <c r="AZ1" s="1"/>
      <c r="BA1" s="153" t="s">
        <v>846</v>
      </c>
      <c r="BB1" s="153" t="s">
        <v>847</v>
      </c>
      <c r="BC1" s="153" t="s">
        <v>848</v>
      </c>
      <c r="BD1" s="153" t="s">
        <v>845</v>
      </c>
      <c r="BE1" s="153" t="s">
        <v>849</v>
      </c>
      <c r="BF1" s="153" t="s">
        <v>850</v>
      </c>
      <c r="BG1" s="153" t="s">
        <v>851</v>
      </c>
      <c r="BH1" s="153" t="s">
        <v>852</v>
      </c>
      <c r="BI1" s="153" t="s">
        <v>853</v>
      </c>
      <c r="BJ1" s="153" t="s">
        <v>854</v>
      </c>
      <c r="BK1" s="153" t="s">
        <v>855</v>
      </c>
      <c r="BL1" s="153" t="s">
        <v>856</v>
      </c>
      <c r="BM1" s="153" t="s">
        <v>857</v>
      </c>
      <c r="BN1" s="153" t="s">
        <v>858</v>
      </c>
      <c r="BO1" s="153" t="s">
        <v>316</v>
      </c>
      <c r="BT1" s="186" t="s">
        <v>859</v>
      </c>
      <c r="BU1" s="185"/>
      <c r="BV1" s="185"/>
      <c r="BX1" s="187" t="s">
        <v>860</v>
      </c>
      <c r="BY1" s="185"/>
      <c r="BZ1" s="185"/>
      <c r="CA1" s="185"/>
    </row>
    <row r="2" spans="1:79" ht="15.75" customHeight="1" x14ac:dyDescent="0.25">
      <c r="A2" s="153" t="s">
        <v>27</v>
      </c>
      <c r="C2" s="153">
        <v>1</v>
      </c>
      <c r="E2" s="1" t="str">
        <f>IF('1. Gruppspel'!D4="","",'1. Gruppspel'!D4)</f>
        <v>Tjeckien</v>
      </c>
      <c r="F2" s="1" t="s">
        <v>25</v>
      </c>
      <c r="G2" s="1"/>
      <c r="H2" s="1" t="str">
        <f>IF(COUNTIF(_Listor!$BU$26,'1. Gruppspel'!$D$4)&gt;0,'1. Gruppspel'!$D$4,"")</f>
        <v/>
      </c>
      <c r="I2" s="1" t="str">
        <f>IF(COUNTIF(_Listor!$BU$26,'1. Gruppspel'!$D$6)&gt;0,'1. Gruppspel'!$D$6,"")</f>
        <v/>
      </c>
      <c r="J2" s="1" t="str">
        <f>IF(COUNTIF(_Listor!$BU$26,'1. Gruppspel'!$D$6)&gt;0,'1. Gruppspel'!$D$6,"")</f>
        <v/>
      </c>
      <c r="K2" s="1" t="str">
        <f>IF(COUNTIF(_Listor!$BU$26,'1. Gruppspel'!$D$8)&gt;0,'1. Gruppspel'!$D$8,"")</f>
        <v/>
      </c>
      <c r="L2" s="1" t="str">
        <f>IF(COUNTIF(_Listor!$BU$26,'1. Gruppspel'!$D$4)&gt;0,'1. Gruppspel'!$D$4,"")</f>
        <v/>
      </c>
      <c r="M2" s="1" t="str">
        <f>IF(COUNTIF(_Listor!$BU$26,'1. Gruppspel'!$D$5)&gt;0,'1. Gruppspel'!$D$5,"")</f>
        <v/>
      </c>
      <c r="N2" s="1" t="str">
        <f>IF(COUNTIF(_Listor!$BU$26,'1. Gruppspel'!$D$7)&gt;0,'1. Gruppspel'!$D$7,"")</f>
        <v/>
      </c>
      <c r="O2" s="1" t="str">
        <f>IF(COUNTIF(_Listor!$BU$26,'1. Gruppspel'!$D$8)&gt;0,'1. Gruppspel'!$D$8,"")</f>
        <v/>
      </c>
      <c r="P2" s="1"/>
      <c r="Q2" s="1"/>
      <c r="R2" s="1"/>
      <c r="S2" s="1"/>
      <c r="T2" s="1" t="str">
        <f>_Listor!$BY$3</f>
        <v>Mexiko</v>
      </c>
      <c r="U2" s="1" t="str">
        <f>_Listor!$BY$4</f>
        <v>Nederländerna</v>
      </c>
      <c r="V2" s="1" t="str">
        <f>_Listor!$BY$5</f>
        <v>Tyskland</v>
      </c>
      <c r="W2" s="1" t="str">
        <f>_Listor!$BY$6</f>
        <v>Frankrike</v>
      </c>
      <c r="X2" s="1" t="str">
        <f>_Listor!$BY$7</f>
        <v>Brasilien</v>
      </c>
      <c r="Y2" s="1" t="str">
        <f>_Listor!$BY$8</f>
        <v>Ecuador</v>
      </c>
      <c r="Z2" s="1" t="str">
        <f>_Listor!$BY$9</f>
        <v>Sydkorea</v>
      </c>
      <c r="AA2" s="1" t="str">
        <f>_Listor!$BY$10</f>
        <v>Kroatien</v>
      </c>
      <c r="AB2" s="1" t="str">
        <f>_Listor!$BY$11</f>
        <v>Colombia</v>
      </c>
      <c r="AC2" s="1" t="str">
        <f>_Listor!$BY$12</f>
        <v>Spanien</v>
      </c>
      <c r="AD2" s="1" t="str">
        <f>_Listor!$BY$13</f>
        <v>Turkiet</v>
      </c>
      <c r="AE2" s="1" t="str">
        <f>_Listor!$BY$14</f>
        <v>Belgien</v>
      </c>
      <c r="AF2" s="1" t="str">
        <f>_Listor!$BY$15</f>
        <v>Argentina</v>
      </c>
      <c r="AG2" s="1" t="str">
        <f>_Listor!$BY$16</f>
        <v>USA</v>
      </c>
      <c r="AH2" s="1" t="str">
        <f>_Listor!$BY$17</f>
        <v>Schweiz</v>
      </c>
      <c r="AI2" s="1" t="str">
        <f>_Listor!$BY$18</f>
        <v>Portugal</v>
      </c>
      <c r="AJ2" s="1">
        <f>_Listor!$CA$3</f>
        <v>0</v>
      </c>
      <c r="AK2" s="1">
        <f>_Listor!$CA$5</f>
        <v>0</v>
      </c>
      <c r="AL2" s="1">
        <f>_Listor!$CA$7</f>
        <v>0</v>
      </c>
      <c r="AM2" s="1">
        <f>_Listor!$CA$9</f>
        <v>0</v>
      </c>
      <c r="AN2" s="1">
        <f>_Listor!$CA$11</f>
        <v>0</v>
      </c>
      <c r="AO2" s="1">
        <f>_Listor!$CA$13</f>
        <v>0</v>
      </c>
      <c r="AP2" s="1">
        <f>_Listor!$CA$15</f>
        <v>0</v>
      </c>
      <c r="AQ2" s="1">
        <f>_Listor!$CA$17</f>
        <v>0</v>
      </c>
      <c r="AR2" s="1" t="e">
        <f t="shared" ref="AR2:AX2" si="0">#REF!</f>
        <v>#REF!</v>
      </c>
      <c r="AS2" s="1" t="e">
        <f t="shared" si="0"/>
        <v>#REF!</v>
      </c>
      <c r="AT2" s="1" t="e">
        <f t="shared" si="0"/>
        <v>#REF!</v>
      </c>
      <c r="AU2" s="1" t="e">
        <f t="shared" si="0"/>
        <v>#REF!</v>
      </c>
      <c r="AV2" s="1" t="e">
        <f t="shared" si="0"/>
        <v>#REF!</v>
      </c>
      <c r="AW2" s="1" t="e">
        <f t="shared" si="0"/>
        <v>#REF!</v>
      </c>
      <c r="AX2" s="1" t="e">
        <f t="shared" si="0"/>
        <v>#REF!</v>
      </c>
      <c r="AY2" s="1"/>
      <c r="AZ2" s="1"/>
      <c r="BA2" s="153" t="e">
        <f t="shared" ref="BA2:BD2" si="1">#REF!</f>
        <v>#REF!</v>
      </c>
      <c r="BB2" s="153" t="e">
        <f t="shared" si="1"/>
        <v>#REF!</v>
      </c>
      <c r="BC2" s="153" t="e">
        <f t="shared" si="1"/>
        <v>#REF!</v>
      </c>
      <c r="BD2" s="153" t="e">
        <f t="shared" si="1"/>
        <v>#REF!</v>
      </c>
      <c r="BE2" s="153" t="str">
        <f>'2. Bästa grupptreor'!B4</f>
        <v>Sverige</v>
      </c>
      <c r="BF2" s="153" t="str">
        <f t="array" aca="1" ref="BF2" ca="1">IFERROR(INDEX($E$2:$E$13,_xludf.AGGREGATE(15,6,(ROW($E$2:$E$13)-ROW($E$2)+1)/(($E$2:$E$13&lt;&gt;"")*((COUNTIF($BE$2:$BE$9,$E$2:$E$13)=0)+($E$2:$E$13='2. Bästa grupptreor'!$B$4))),ROWS($BF$2:BF2))),"")</f>
        <v/>
      </c>
      <c r="BG2" s="153" t="str">
        <f t="array" aca="1" ref="BG2" ca="1">IFERROR(INDEX($E$2:$E$13,_xludf.AGGREGATE(15,6,(ROW($E$2:$E$13)-ROW($E$2)+1)/(($E$2:$E$13&lt;&gt;"")*((COUNTIF($BE$2:$BE$9,$E$2:$E$13)=0)+($E$2:$E$13='2. Bästa grupptreor'!$B$6))),ROWS($BG$2:BG2))),"")</f>
        <v/>
      </c>
      <c r="BH2" s="153" t="str">
        <f t="array" aca="1" ref="BH2" ca="1">IFERROR(INDEX($E$2:$E$13,_xludf.AGGREGATE(15,6,(ROW($E$2:$E$13)-ROW($E$2)+1)/(($E$2:$E$13&lt;&gt;"")*((COUNTIF($BE$2:$BE$9,$E$2:$E$13)=0)+($E$2:$E$13='2. Bästa grupptreor'!$B$8))),ROWS($BH$2:BH2))),"")</f>
        <v/>
      </c>
      <c r="BI2" s="153" t="str">
        <f t="array" aca="1" ref="BI2" ca="1">IFERROR(INDEX($E$2:$E$13,_xludf.AGGREGATE(15,6,(ROW($E$2:$E$13)-ROW($E$2)+1)/(($E$2:$E$13&lt;&gt;"")*((COUNTIF($BE$2:$BE$9,$E$2:$E$13)=0)+($E$2:$E$13='2. Bästa grupptreor'!$B$10))),ROWS($BI$2:BI2))),"")</f>
        <v/>
      </c>
      <c r="BJ2" s="153" t="str">
        <f t="array" aca="1" ref="BJ2" ca="1">IFERROR(INDEX($E$2:$E$13,_xludf.AGGREGATE(15,6,(ROW($E$2:$E$13)-ROW($E$2)+1)/(($E$2:$E$13&lt;&gt;"")*((COUNTIF($BE$2:$BE$9,$E$2:$E$13)=0)+($E$2:$E$13='2. Bästa grupptreor'!$B$12))),ROWS($BJ$2:BJ2))),"")</f>
        <v/>
      </c>
      <c r="BK2" s="153" t="str">
        <f t="array" aca="1" ref="BK2" ca="1">IFERROR(INDEX($E$2:$E$13,_xludf.AGGREGATE(15,6,(ROW($E$2:$E$13)-ROW($E$2)+1)/(($E$2:$E$13&lt;&gt;"")*((COUNTIF($BE$2:$BE$9,$E$2:$E$13)=0)+($E$2:$E$13='2. Bästa grupptreor'!$B$14))),ROWS($BK$2:BK2))),"")</f>
        <v/>
      </c>
      <c r="BL2" s="153" t="str">
        <f t="array" aca="1" ref="BL2" ca="1">IFERROR(INDEX($E$2:$E$13,_xludf.AGGREGATE(15,6,(ROW($E$2:$E$13)-ROW($E$2)+1)/(($E$2:$E$13&lt;&gt;"")*((COUNTIF($BE$2:$BE$9,$E$2:$E$13)=0)+($E$2:$E$13='2. Bästa grupptreor'!$B$16))),ROWS($BL$2:BL2))),"")</f>
        <v/>
      </c>
      <c r="BM2" s="153" t="str">
        <f t="array" aca="1" ref="BM2" ca="1">IFERROR(INDEX($E$2:$E$13,_xludf.AGGREGATE(15,6,(ROW($E$2:$E$13)-ROW($E$2)+1)/(($E$2:$E$13&lt;&gt;"")*((COUNTIF($BE$2:$BE$9,$E$2:$E$13)=0)+($E$2:$E$13='2. Bästa grupptreor'!$B$18))),ROWS($BM$2:BM2))),"")</f>
        <v/>
      </c>
      <c r="BN2" s="153" t="str">
        <f t="array" ref="BN2">IF('2. Bästa grupptreor'!B4="","",INDEX('1. Gruppspel'!$A$4:$A$15,MATCH('2. Bästa grupptreor'!B4,'1. Gruppspel'!$D$4:$D$15,0)))</f>
        <v>F</v>
      </c>
      <c r="BO2" s="153"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ABCDEFIK</v>
      </c>
      <c r="BT2" s="154" t="s">
        <v>861</v>
      </c>
      <c r="BU2" s="154" t="s">
        <v>141</v>
      </c>
      <c r="BV2" s="154" t="s">
        <v>862</v>
      </c>
      <c r="BX2" s="154" t="s">
        <v>204</v>
      </c>
      <c r="BY2" s="155" t="s">
        <v>207</v>
      </c>
      <c r="BZ2" s="155" t="s">
        <v>208</v>
      </c>
      <c r="CA2" s="154" t="s">
        <v>106</v>
      </c>
    </row>
    <row r="3" spans="1:79" ht="15.75" customHeight="1" x14ac:dyDescent="0.25">
      <c r="A3" s="153" t="s">
        <v>28</v>
      </c>
      <c r="C3" s="153">
        <v>2</v>
      </c>
      <c r="E3" s="1" t="str">
        <f>IF('1. Gruppspel'!D5="","",'1. Gruppspel'!D5)</f>
        <v>Kanada</v>
      </c>
      <c r="F3" s="1" t="s">
        <v>30</v>
      </c>
      <c r="G3" s="1"/>
      <c r="H3" s="1" t="str">
        <f>IF(COUNTIF(_Listor!$BU$26,'1. Gruppspel'!$D$5)&gt;0,'1. Gruppspel'!$D$5,"")</f>
        <v/>
      </c>
      <c r="I3" s="1" t="str">
        <f>IF(COUNTIF(_Listor!$BU$26,'1. Gruppspel'!$D$7)&gt;0,'1. Gruppspel'!$D$7,"")</f>
        <v/>
      </c>
      <c r="J3" s="1" t="str">
        <f>IF(COUNTIF(_Listor!$BU$26,'1. Gruppspel'!$D$8)&gt;0,'1. Gruppspel'!$D$8,"")</f>
        <v/>
      </c>
      <c r="K3" s="1" t="str">
        <f>IF(COUNTIF(_Listor!$BU$26,'1. Gruppspel'!$D$11)&gt;0,'1. Gruppspel'!$D$11,"")</f>
        <v/>
      </c>
      <c r="L3" s="1" t="str">
        <f>IF(COUNTIF(_Listor!$BU$26,'1. Gruppspel'!$D$8)&gt;0,'1. Gruppspel'!$D$8,"")</f>
        <v/>
      </c>
      <c r="M3" s="1" t="str">
        <f>IF(COUNTIF(_Listor!$BU$26,'1. Gruppspel'!$D$8)&gt;0,'1. Gruppspel'!$D$8,"")</f>
        <v/>
      </c>
      <c r="N3" s="1" t="str">
        <f>IF(COUNTIF(_Listor!$BU$26,'1. Gruppspel'!$D$8)&gt;0,'1. Gruppspel'!$D$8,"")</f>
        <v/>
      </c>
      <c r="O3" s="1" t="str">
        <f>IF(COUNTIF(_Listor!$BU$26,'1. Gruppspel'!$D$9)&gt;0,'1. Gruppspel'!$D$9,"")</f>
        <v/>
      </c>
      <c r="P3" s="1"/>
      <c r="Q3" s="1"/>
      <c r="R3" s="1"/>
      <c r="S3" s="1"/>
      <c r="T3" s="1" t="str">
        <f>_Listor!$BZ$3</f>
        <v>Bosnien och Hercegovina</v>
      </c>
      <c r="U3" s="1" t="str">
        <f>_Listor!$BZ$4</f>
        <v>Marocko</v>
      </c>
      <c r="V3" s="1" t="str">
        <f>_Listor!$BZ$5</f>
        <v>Paraguay</v>
      </c>
      <c r="W3" s="1" t="str">
        <f>_Listor!$BZ$6</f>
        <v>Sverige</v>
      </c>
      <c r="X3" s="1" t="str">
        <f>_Listor!$BZ$7</f>
        <v>Japan</v>
      </c>
      <c r="Y3" s="1" t="str">
        <f>_Listor!$BZ$8</f>
        <v>Norge</v>
      </c>
      <c r="Z3" s="1" t="str">
        <f>_Listor!$BZ$9</f>
        <v>Skottland</v>
      </c>
      <c r="AA3" s="1" t="str">
        <f>_Listor!$BZ$10</f>
        <v>DR Kongo</v>
      </c>
      <c r="AB3" s="1" t="str">
        <f>_Listor!$BZ$11</f>
        <v>England</v>
      </c>
      <c r="AC3" s="1" t="str">
        <f>_Listor!$BZ$12</f>
        <v>Österrike</v>
      </c>
      <c r="AD3" s="1" t="str">
        <f>_Listor!$BZ$13</f>
        <v>Kanada</v>
      </c>
      <c r="AE3" s="1" t="str">
        <f>_Listor!$BZ$14</f>
        <v>Tjeckien</v>
      </c>
      <c r="AF3" s="1" t="str">
        <f>_Listor!$BZ$15</f>
        <v>Uruguay</v>
      </c>
      <c r="AG3" s="1" t="str">
        <f>_Listor!$BZ$16</f>
        <v>Egypten</v>
      </c>
      <c r="AH3" s="1" t="str">
        <f>_Listor!$BZ$17</f>
        <v>Elfenbenskusten</v>
      </c>
      <c r="AI3" s="1" t="str">
        <f>_Listor!$BZ$18</f>
        <v>Senegal</v>
      </c>
      <c r="AJ3" s="1">
        <f>_Listor!$CA$4</f>
        <v>0</v>
      </c>
      <c r="AK3" s="1">
        <f>_Listor!$CA$6</f>
        <v>0</v>
      </c>
      <c r="AL3" s="1">
        <f>_Listor!$CA$8</f>
        <v>0</v>
      </c>
      <c r="AM3" s="1">
        <f>_Listor!$CA$10</f>
        <v>0</v>
      </c>
      <c r="AN3" s="1">
        <f>_Listor!$CA$12</f>
        <v>0</v>
      </c>
      <c r="AO3" s="1">
        <f>_Listor!$CA$14</f>
        <v>0</v>
      </c>
      <c r="AP3" s="1">
        <f>_Listor!$CA$16</f>
        <v>0</v>
      </c>
      <c r="AQ3" s="1">
        <f>_Listor!$CA$18</f>
        <v>0</v>
      </c>
      <c r="AR3" s="1" t="e">
        <f t="shared" ref="AR3:AX3" si="2">#REF!</f>
        <v>#REF!</v>
      </c>
      <c r="AS3" s="1" t="e">
        <f t="shared" si="2"/>
        <v>#REF!</v>
      </c>
      <c r="AT3" s="1" t="e">
        <f t="shared" si="2"/>
        <v>#REF!</v>
      </c>
      <c r="AU3" s="1" t="e">
        <f t="shared" si="2"/>
        <v>#REF!</v>
      </c>
      <c r="AV3" s="1" t="e">
        <f t="shared" si="2"/>
        <v>#REF!</v>
      </c>
      <c r="AW3" s="1" t="e">
        <f t="shared" si="2"/>
        <v>#REF!</v>
      </c>
      <c r="AX3" s="1" t="e">
        <f t="shared" si="2"/>
        <v>#REF!</v>
      </c>
      <c r="AY3" s="1"/>
      <c r="AZ3" s="1"/>
      <c r="BA3" s="153" t="e">
        <f t="shared" ref="BA3:BD3" si="3">#REF!</f>
        <v>#REF!</v>
      </c>
      <c r="BB3" s="153" t="e">
        <f t="shared" si="3"/>
        <v>#REF!</v>
      </c>
      <c r="BC3" s="153" t="e">
        <f t="shared" si="3"/>
        <v>#REF!</v>
      </c>
      <c r="BD3" s="153" t="e">
        <f t="shared" si="3"/>
        <v>#REF!</v>
      </c>
      <c r="BE3" s="153" t="str">
        <f>'2. Bästa grupptreor'!B6</f>
        <v>Kanada</v>
      </c>
      <c r="BF3" s="153" t="str">
        <f t="array" aca="1" ref="BF3" ca="1">IFERROR(INDEX($E$2:$E$13,_xludf.AGGREGATE(15,6,(ROW($E$2:$E$13)-ROW($E$2)+1)/(($E$2:$E$13&lt;&gt;"")*((COUNTIF($BE$2:$BE$9,$E$2:$E$13)=0)+($E$2:$E$13='2. Bästa grupptreor'!$B$4))),ROWS($BF$2:BF3))),"")</f>
        <v/>
      </c>
      <c r="BG3" s="153" t="str">
        <f t="array" aca="1" ref="BG3" ca="1">IFERROR(INDEX($E$2:$E$13,_xludf.AGGREGATE(15,6,(ROW($E$2:$E$13)-ROW($E$2)+1)/(($E$2:$E$13&lt;&gt;"")*((COUNTIF($BE$2:$BE$9,$E$2:$E$13)=0)+($E$2:$E$13='2. Bästa grupptreor'!$B$6))),ROWS($BG$2:BG3))),"")</f>
        <v/>
      </c>
      <c r="BH3" s="153" t="str">
        <f t="array" aca="1" ref="BH3" ca="1">IFERROR(INDEX($E$2:$E$13,_xludf.AGGREGATE(15,6,(ROW($E$2:$E$13)-ROW($E$2)+1)/(($E$2:$E$13&lt;&gt;"")*((COUNTIF($BE$2:$BE$9,$E$2:$E$13)=0)+($E$2:$E$13='2. Bästa grupptreor'!$B$8))),ROWS($BH$2:BH3))),"")</f>
        <v/>
      </c>
      <c r="BI3" s="153" t="str">
        <f t="array" aca="1" ref="BI3" ca="1">IFERROR(INDEX($E$2:$E$13,_xludf.AGGREGATE(15,6,(ROW($E$2:$E$13)-ROW($E$2)+1)/(($E$2:$E$13&lt;&gt;"")*((COUNTIF($BE$2:$BE$9,$E$2:$E$13)=0)+($E$2:$E$13='2. Bästa grupptreor'!$B$10))),ROWS($BI$2:BI3))),"")</f>
        <v/>
      </c>
      <c r="BJ3" s="153" t="str">
        <f t="array" aca="1" ref="BJ3" ca="1">IFERROR(INDEX($E$2:$E$13,_xludf.AGGREGATE(15,6,(ROW($E$2:$E$13)-ROW($E$2)+1)/(($E$2:$E$13&lt;&gt;"")*((COUNTIF($BE$2:$BE$9,$E$2:$E$13)=0)+($E$2:$E$13='2. Bästa grupptreor'!$B$12))),ROWS($BJ$2:BJ3))),"")</f>
        <v/>
      </c>
      <c r="BK3" s="153" t="str">
        <f t="array" aca="1" ref="BK3" ca="1">IFERROR(INDEX($E$2:$E$13,_xludf.AGGREGATE(15,6,(ROW($E$2:$E$13)-ROW($E$2)+1)/(($E$2:$E$13&lt;&gt;"")*((COUNTIF($BE$2:$BE$9,$E$2:$E$13)=0)+($E$2:$E$13='2. Bästa grupptreor'!$B$14))),ROWS($BK$2:BK3))),"")</f>
        <v/>
      </c>
      <c r="BL3" s="153" t="str">
        <f t="array" aca="1" ref="BL3" ca="1">IFERROR(INDEX($E$2:$E$13,_xludf.AGGREGATE(15,6,(ROW($E$2:$E$13)-ROW($E$2)+1)/(($E$2:$E$13&lt;&gt;"")*((COUNTIF($BE$2:$BE$9,$E$2:$E$13)=0)+($E$2:$E$13='2. Bästa grupptreor'!$B$16))),ROWS($BL$2:BL3))),"")</f>
        <v/>
      </c>
      <c r="BM3" s="153" t="str">
        <f t="array" aca="1" ref="BM3" ca="1">IFERROR(INDEX($E$2:$E$13,_xludf.AGGREGATE(15,6,(ROW($E$2:$E$13)-ROW($E$2)+1)/(($E$2:$E$13&lt;&gt;"")*((COUNTIF($BE$2:$BE$9,$E$2:$E$13)=0)+($E$2:$E$13='2. Bästa grupptreor'!$B$18))),ROWS($BM$2:BM3))),"")</f>
        <v/>
      </c>
      <c r="BN3" s="153" t="str">
        <f t="array" ref="BN3">IF('2. Bästa grupptreor'!B6="","",INDEX('1. Gruppspel'!$A$4:$A$15,MATCH('2. Bästa grupptreor'!B6,'1. Gruppspel'!$D$4:$D$15,0)))</f>
        <v>B</v>
      </c>
      <c r="BT3" s="156">
        <v>1</v>
      </c>
      <c r="BU3" s="156" t="str">
        <f>IF('1. Gruppspel'!B4="","",'1. Gruppspel'!B4)</f>
        <v>Sydkorea</v>
      </c>
      <c r="BV3" s="156" t="s">
        <v>863</v>
      </c>
      <c r="BX3" s="157" t="s">
        <v>105</v>
      </c>
      <c r="BY3" s="158" t="str">
        <f>IF('1. Gruppspel'!$C$4="","",'1. Gruppspel'!$C$4)</f>
        <v>Mexiko</v>
      </c>
      <c r="BZ3" s="158" t="str">
        <f>IF('1. Gruppspel'!$C$5="","",'1. Gruppspel'!$C$5)</f>
        <v>Bosnien och Hercegovina</v>
      </c>
      <c r="CA3" s="159"/>
    </row>
    <row r="4" spans="1:79" ht="15.75" customHeight="1" x14ac:dyDescent="0.25">
      <c r="A4" s="153" t="s">
        <v>148</v>
      </c>
      <c r="C4" s="153">
        <v>3</v>
      </c>
      <c r="E4" s="1" t="str">
        <f>IF('1. Gruppspel'!D6="","",'1. Gruppspel'!D6)</f>
        <v>Skottland</v>
      </c>
      <c r="F4" s="1" t="s">
        <v>35</v>
      </c>
      <c r="G4" s="1"/>
      <c r="H4" s="1" t="str">
        <f>IF(COUNTIF(_Listor!$BU$26,'1. Gruppspel'!$D$6)&gt;0,'1. Gruppspel'!$D$6,"")</f>
        <v/>
      </c>
      <c r="I4" s="1" t="str">
        <f>IF(COUNTIF(_Listor!$BU$26,'1. Gruppspel'!$D$9)&gt;0,'1. Gruppspel'!$D$9,"")</f>
        <v/>
      </c>
      <c r="J4" s="1" t="str">
        <f>IF(COUNTIF(_Listor!$BU$26,'1. Gruppspel'!$D$9)&gt;0,'1. Gruppspel'!$D$9,"")</f>
        <v/>
      </c>
      <c r="K4" s="1" t="str">
        <f>IF(COUNTIF(_Listor!$BU$26,'1. Gruppspel'!$D$12)&gt;0,'1. Gruppspel'!$D$12,"")</f>
        <v/>
      </c>
      <c r="L4" s="1" t="str">
        <f>IF(COUNTIF(_Listor!$BU$26,'1. Gruppspel'!$D$11)&gt;0,'1. Gruppspel'!$D$11,"")</f>
        <v/>
      </c>
      <c r="M4" s="1" t="str">
        <f>IF(COUNTIF(_Listor!$BU$26,'1. Gruppspel'!$D$9)&gt;0,'1. Gruppspel'!$D$9,"")</f>
        <v/>
      </c>
      <c r="N4" s="1" t="str">
        <f>IF(COUNTIF(_Listor!$BU$26,'1. Gruppspel'!$D$12)&gt;0,'1. Gruppspel'!$D$12,"")</f>
        <v/>
      </c>
      <c r="O4" s="1" t="str">
        <f>IF(COUNTIF(_Listor!$BU$26,'1. Gruppspel'!$D$10)&gt;0,'1. Gruppspel'!$D$10,"")</f>
        <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E4" s="153" t="str">
        <f>'2. Bästa grupptreor'!B8</f>
        <v>Skottland</v>
      </c>
      <c r="BF4" s="153" t="str">
        <f t="array" aca="1" ref="BF4" ca="1">IFERROR(INDEX($E$2:$E$13,_xludf.AGGREGATE(15,6,(ROW($E$2:$E$13)-ROW($E$2)+1)/(($E$2:$E$13&lt;&gt;"")*((COUNTIF($BE$2:$BE$9,$E$2:$E$13)=0)+($E$2:$E$13='2. Bästa grupptreor'!$B$4))),ROWS($BF$2:BF4))),"")</f>
        <v/>
      </c>
      <c r="BG4" s="153" t="str">
        <f t="array" aca="1" ref="BG4" ca="1">IFERROR(INDEX($E$2:$E$13,_xludf.AGGREGATE(15,6,(ROW($E$2:$E$13)-ROW($E$2)+1)/(($E$2:$E$13&lt;&gt;"")*((COUNTIF($BE$2:$BE$9,$E$2:$E$13)=0)+($E$2:$E$13='2. Bästa grupptreor'!$B$6))),ROWS($BG$2:BG4))),"")</f>
        <v/>
      </c>
      <c r="BH4" s="153" t="str">
        <f t="array" aca="1" ref="BH4" ca="1">IFERROR(INDEX($E$2:$E$13,_xludf.AGGREGATE(15,6,(ROW($E$2:$E$13)-ROW($E$2)+1)/(($E$2:$E$13&lt;&gt;"")*((COUNTIF($BE$2:$BE$9,$E$2:$E$13)=0)+($E$2:$E$13='2. Bästa grupptreor'!$B$8))),ROWS($BH$2:BH4))),"")</f>
        <v/>
      </c>
      <c r="BI4" s="153" t="str">
        <f t="array" aca="1" ref="BI4" ca="1">IFERROR(INDEX($E$2:$E$13,_xludf.AGGREGATE(15,6,(ROW($E$2:$E$13)-ROW($E$2)+1)/(($E$2:$E$13&lt;&gt;"")*((COUNTIF($BE$2:$BE$9,$E$2:$E$13)=0)+($E$2:$E$13='2. Bästa grupptreor'!$B$10))),ROWS($BI$2:BI4))),"")</f>
        <v/>
      </c>
      <c r="BJ4" s="153" t="str">
        <f t="array" aca="1" ref="BJ4" ca="1">IFERROR(INDEX($E$2:$E$13,_xludf.AGGREGATE(15,6,(ROW($E$2:$E$13)-ROW($E$2)+1)/(($E$2:$E$13&lt;&gt;"")*((COUNTIF($BE$2:$BE$9,$E$2:$E$13)=0)+($E$2:$E$13='2. Bästa grupptreor'!$B$12))),ROWS($BJ$2:BJ4))),"")</f>
        <v/>
      </c>
      <c r="BK4" s="153" t="str">
        <f t="array" aca="1" ref="BK4" ca="1">IFERROR(INDEX($E$2:$E$13,_xludf.AGGREGATE(15,6,(ROW($E$2:$E$13)-ROW($E$2)+1)/(($E$2:$E$13&lt;&gt;"")*((COUNTIF($BE$2:$BE$9,$E$2:$E$13)=0)+($E$2:$E$13='2. Bästa grupptreor'!$B$14))),ROWS($BK$2:BK4))),"")</f>
        <v/>
      </c>
      <c r="BL4" s="153" t="str">
        <f t="array" aca="1" ref="BL4" ca="1">IFERROR(INDEX($E$2:$E$13,_xludf.AGGREGATE(15,6,(ROW($E$2:$E$13)-ROW($E$2)+1)/(($E$2:$E$13&lt;&gt;"")*((COUNTIF($BE$2:$BE$9,$E$2:$E$13)=0)+($E$2:$E$13='2. Bästa grupptreor'!$B$16))),ROWS($BL$2:BL4))),"")</f>
        <v/>
      </c>
      <c r="BM4" s="153" t="str">
        <f t="array" aca="1" ref="BM4" ca="1">IFERROR(INDEX($E$2:$E$13,_xludf.AGGREGATE(15,6,(ROW($E$2:$E$13)-ROW($E$2)+1)/(($E$2:$E$13&lt;&gt;"")*((COUNTIF($BE$2:$BE$9,$E$2:$E$13)=0)+($E$2:$E$13='2. Bästa grupptreor'!$B$18))),ROWS($BM$2:BM4))),"")</f>
        <v/>
      </c>
      <c r="BN4" s="153" t="str">
        <f t="array" ref="BN4">IF('2. Bästa grupptreor'!B8="","",INDEX('1. Gruppspel'!$A$4:$A$15,MATCH('2. Bästa grupptreor'!B8,'1. Gruppspel'!$D$4:$D$15,0)))</f>
        <v>C</v>
      </c>
      <c r="BT4" s="156">
        <v>2</v>
      </c>
      <c r="BU4" s="156" t="str">
        <f>IF('1. Gruppspel'!B5="","",'1. Gruppspel'!B5)</f>
        <v>Schweiz</v>
      </c>
      <c r="BV4" s="156" t="s">
        <v>864</v>
      </c>
      <c r="BX4" s="157" t="s">
        <v>112</v>
      </c>
      <c r="BY4" s="158" t="str">
        <f>IF('1. Gruppspel'!$B$9="","",'1. Gruppspel'!$B$9)</f>
        <v>Nederländerna</v>
      </c>
      <c r="BZ4" s="158" t="str">
        <f>IF('1. Gruppspel'!$C$6="","",'1. Gruppspel'!$C$6)</f>
        <v>Marocko</v>
      </c>
      <c r="CA4" s="159"/>
    </row>
    <row r="5" spans="1:79" ht="15.75" customHeight="1" x14ac:dyDescent="0.25">
      <c r="A5" s="153" t="s">
        <v>26</v>
      </c>
      <c r="C5" s="153">
        <v>4</v>
      </c>
      <c r="E5" s="1" t="str">
        <f>IF('1. Gruppspel'!D7="","",'1. Gruppspel'!D7)</f>
        <v>Paraguay</v>
      </c>
      <c r="F5" s="1" t="s">
        <v>40</v>
      </c>
      <c r="G5" s="1"/>
      <c r="H5" s="1" t="str">
        <f>IF(COUNTIF(_Listor!$BU$26,'1. Gruppspel'!$D$7)&gt;0,'1. Gruppspel'!$D$7,"")</f>
        <v/>
      </c>
      <c r="I5" s="1" t="str">
        <f>IF(COUNTIF(_Listor!$BU$26,'1. Gruppspel'!$D$10)&gt;0,'1. Gruppspel'!$D$10,"")</f>
        <v/>
      </c>
      <c r="J5" s="1" t="str">
        <f>IF(COUNTIF(_Listor!$BU$26,'1. Gruppspel'!$D$11)&gt;0,'1. Gruppspel'!$D$11,"")</f>
        <v/>
      </c>
      <c r="K5" s="1" t="str">
        <f>IF(COUNTIF(_Listor!$BU$26,'1. Gruppspel'!$D$13)&gt;0,'1. Gruppspel'!$D$13,"")</f>
        <v/>
      </c>
      <c r="L5" s="1" t="str">
        <f>IF(COUNTIF(_Listor!$BU$26,'1. Gruppspel'!$D$12)&gt;0,'1. Gruppspel'!$D$12,"")</f>
        <v/>
      </c>
      <c r="M5" s="1" t="str">
        <f>IF(COUNTIF(_Listor!$BU$26,'1. Gruppspel'!$D$12)&gt;0,'1. Gruppspel'!$D$12,"")</f>
        <v/>
      </c>
      <c r="N5" s="1" t="str">
        <f>IF(COUNTIF(_Listor!$BU$26,'1. Gruppspel'!$D$13)&gt;0,'1. Gruppspel'!$D$13,"")</f>
        <v/>
      </c>
      <c r="O5" s="1" t="str">
        <f>IF(COUNTIF(_Listor!$BU$26,'1. Gruppspel'!$D$12)&gt;0,'1. Gruppspel'!$D$12,"")</f>
        <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E5" s="153" t="str">
        <f>'2. Bästa grupptreor'!B10</f>
        <v>DR Kongo</v>
      </c>
      <c r="BF5" s="153" t="str">
        <f t="array" aca="1" ref="BF5" ca="1">IFERROR(INDEX($E$2:$E$13,_xludf.AGGREGATE(15,6,(ROW($E$2:$E$13)-ROW($E$2)+1)/(($E$2:$E$13&lt;&gt;"")*((COUNTIF($BE$2:$BE$9,$E$2:$E$13)=0)+($E$2:$E$13='2. Bästa grupptreor'!$B$4))),ROWS($BF$2:BF5))),"")</f>
        <v/>
      </c>
      <c r="BG5" s="153" t="str">
        <f t="array" aca="1" ref="BG5" ca="1">IFERROR(INDEX($E$2:$E$13,_xludf.AGGREGATE(15,6,(ROW($E$2:$E$13)-ROW($E$2)+1)/(($E$2:$E$13&lt;&gt;"")*((COUNTIF($BE$2:$BE$9,$E$2:$E$13)=0)+($E$2:$E$13='2. Bästa grupptreor'!$B$6))),ROWS($BG$2:BG5))),"")</f>
        <v/>
      </c>
      <c r="BH5" s="153" t="str">
        <f t="array" aca="1" ref="BH5" ca="1">IFERROR(INDEX($E$2:$E$13,_xludf.AGGREGATE(15,6,(ROW($E$2:$E$13)-ROW($E$2)+1)/(($E$2:$E$13&lt;&gt;"")*((COUNTIF($BE$2:$BE$9,$E$2:$E$13)=0)+($E$2:$E$13='2. Bästa grupptreor'!$B$8))),ROWS($BH$2:BH5))),"")</f>
        <v/>
      </c>
      <c r="BI5" s="153" t="str">
        <f t="array" aca="1" ref="BI5" ca="1">IFERROR(INDEX($E$2:$E$13,_xludf.AGGREGATE(15,6,(ROW($E$2:$E$13)-ROW($E$2)+1)/(($E$2:$E$13&lt;&gt;"")*((COUNTIF($BE$2:$BE$9,$E$2:$E$13)=0)+($E$2:$E$13='2. Bästa grupptreor'!$B$10))),ROWS($BI$2:BI5))),"")</f>
        <v/>
      </c>
      <c r="BJ5" s="153" t="str">
        <f t="array" aca="1" ref="BJ5" ca="1">IFERROR(INDEX($E$2:$E$13,_xludf.AGGREGATE(15,6,(ROW($E$2:$E$13)-ROW($E$2)+1)/(($E$2:$E$13&lt;&gt;"")*((COUNTIF($BE$2:$BE$9,$E$2:$E$13)=0)+($E$2:$E$13='2. Bästa grupptreor'!$B$12))),ROWS($BJ$2:BJ5))),"")</f>
        <v/>
      </c>
      <c r="BK5" s="153" t="str">
        <f t="array" aca="1" ref="BK5" ca="1">IFERROR(INDEX($E$2:$E$13,_xludf.AGGREGATE(15,6,(ROW($E$2:$E$13)-ROW($E$2)+1)/(($E$2:$E$13&lt;&gt;"")*((COUNTIF($BE$2:$BE$9,$E$2:$E$13)=0)+($E$2:$E$13='2. Bästa grupptreor'!$B$14))),ROWS($BK$2:BK5))),"")</f>
        <v/>
      </c>
      <c r="BL5" s="153" t="str">
        <f t="array" aca="1" ref="BL5" ca="1">IFERROR(INDEX($E$2:$E$13,_xludf.AGGREGATE(15,6,(ROW($E$2:$E$13)-ROW($E$2)+1)/(($E$2:$E$13&lt;&gt;"")*((COUNTIF($BE$2:$BE$9,$E$2:$E$13)=0)+($E$2:$E$13='2. Bästa grupptreor'!$B$16))),ROWS($BL$2:BL5))),"")</f>
        <v/>
      </c>
      <c r="BM5" s="153" t="str">
        <f t="array" aca="1" ref="BM5" ca="1">IFERROR(INDEX($E$2:$E$13,_xludf.AGGREGATE(15,6,(ROW($E$2:$E$13)-ROW($E$2)+1)/(($E$2:$E$13&lt;&gt;"")*((COUNTIF($BE$2:$BE$9,$E$2:$E$13)=0)+($E$2:$E$13='2. Bästa grupptreor'!$B$18))),ROWS($BM$2:BM5))),"")</f>
        <v/>
      </c>
      <c r="BN5" s="153" t="str">
        <f t="array" ref="BN5">IF('2. Bästa grupptreor'!B10="","",INDEX('1. Gruppspel'!$A$4:$A$15,MATCH('2. Bästa grupptreor'!B10,'1. Gruppspel'!$D$4:$D$15,0)))</f>
        <v>K</v>
      </c>
      <c r="BT5" s="156">
        <v>3</v>
      </c>
      <c r="BU5" s="156" t="str">
        <f>IF('1. Gruppspel'!B6="","",'1. Gruppspel'!B6)</f>
        <v>Brasilien</v>
      </c>
      <c r="BV5" s="156" t="s">
        <v>865</v>
      </c>
      <c r="BX5" s="157" t="s">
        <v>95</v>
      </c>
      <c r="BY5" s="158" t="str">
        <f>IF('1. Gruppspel'!$B$8="","",'1. Gruppspel'!$B$8)</f>
        <v>Tyskland</v>
      </c>
      <c r="BZ5" s="158" t="str">
        <f t="array" ref="BZ5">IF(_Listor!$BO$2="","",IFERROR(INDEX('1. Gruppspel'!$D$4:$D$15,MATCH(RIGHT(INDEX('Bilaga 3. AnnexC'!$F$2:$F$496,MATCH(_Listor!$BO$2,'Bilaga 3. AnnexC'!$B$2:$B$496,0)),1),'1. Gruppspel'!$A$4:$A$15,0)),""))</f>
        <v>Paraguay</v>
      </c>
      <c r="CA5" s="159"/>
    </row>
    <row r="6" spans="1:79" ht="15.75" customHeight="1" x14ac:dyDescent="0.25">
      <c r="A6" s="153" t="s">
        <v>33</v>
      </c>
      <c r="E6" s="1" t="str">
        <f>IF('1. Gruppspel'!D8="","",'1. Gruppspel'!D8)</f>
        <v>Elfenbenskusten</v>
      </c>
      <c r="F6" s="1" t="s">
        <v>45</v>
      </c>
      <c r="G6" s="1"/>
      <c r="H6" s="1" t="str">
        <f>IF(COUNTIF(_Listor!$BU$26,'1. Gruppspel'!$D$9)&gt;0,'1. Gruppspel'!$D$9,"")</f>
        <v/>
      </c>
      <c r="I6" s="1" t="str">
        <f>IF(COUNTIF(_Listor!$BU$26,'1. Gruppspel'!$D$11)&gt;0,'1. Gruppspel'!$D$11,"")</f>
        <v/>
      </c>
      <c r="J6" s="1" t="str">
        <f>IF(COUNTIF(_Listor!$BU$26,'1. Gruppspel'!$D$12)&gt;0,'1. Gruppspel'!$D$12,"")</f>
        <v/>
      </c>
      <c r="K6" s="1" t="str">
        <f>IF(COUNTIF(_Listor!$BU$26,'1. Gruppspel'!$D$14)&gt;0,'1. Gruppspel'!$D$14,"")</f>
        <v/>
      </c>
      <c r="L6" s="1" t="str">
        <f>IF(COUNTIF(_Listor!$BU$26,'1. Gruppspel'!$D$13)&gt;0,'1. Gruppspel'!$D$13,"")</f>
        <v/>
      </c>
      <c r="M6" s="1" t="str">
        <f>IF(COUNTIF(_Listor!$BU$26,'1. Gruppspel'!$D$13)&gt;0,'1. Gruppspel'!$D$13,"")</f>
        <v/>
      </c>
      <c r="N6" s="1" t="str">
        <f>IF(COUNTIF(_Listor!$BU$26,'1. Gruppspel'!$D$15)&gt;0,'1. Gruppspel'!$D$15,"")</f>
        <v/>
      </c>
      <c r="O6" s="1" t="str">
        <f>IF(COUNTIF(_Listor!$BU$26,'1. Gruppspel'!$D$13)&gt;0,'1. Gruppspel'!$D$13,"")</f>
        <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E6" s="153" t="str">
        <f>'2. Bästa grupptreor'!B12</f>
        <v>Tjeckien</v>
      </c>
      <c r="BF6" s="153" t="str">
        <f t="array" aca="1" ref="BF6" ca="1">IFERROR(INDEX($E$2:$E$13,_xludf.AGGREGATE(15,6,(ROW($E$2:$E$13)-ROW($E$2)+1)/(($E$2:$E$13&lt;&gt;"")*((COUNTIF($BE$2:$BE$9,$E$2:$E$13)=0)+($E$2:$E$13='2. Bästa grupptreor'!$B$4))),ROWS($BF$2:BF6))),"")</f>
        <v/>
      </c>
      <c r="BG6" s="153" t="str">
        <f t="array" aca="1" ref="BG6" ca="1">IFERROR(INDEX($E$2:$E$13,_xludf.AGGREGATE(15,6,(ROW($E$2:$E$13)-ROW($E$2)+1)/(($E$2:$E$13&lt;&gt;"")*((COUNTIF($BE$2:$BE$9,$E$2:$E$13)=0)+($E$2:$E$13='2. Bästa grupptreor'!$B$6))),ROWS($BG$2:BG6))),"")</f>
        <v/>
      </c>
      <c r="BH6" s="153" t="str">
        <f t="array" aca="1" ref="BH6" ca="1">IFERROR(INDEX($E$2:$E$13,_xludf.AGGREGATE(15,6,(ROW($E$2:$E$13)-ROW($E$2)+1)/(($E$2:$E$13&lt;&gt;"")*((COUNTIF($BE$2:$BE$9,$E$2:$E$13)=0)+($E$2:$E$13='2. Bästa grupptreor'!$B$8))),ROWS($BH$2:BH6))),"")</f>
        <v/>
      </c>
      <c r="BI6" s="153" t="str">
        <f t="array" aca="1" ref="BI6" ca="1">IFERROR(INDEX($E$2:$E$13,_xludf.AGGREGATE(15,6,(ROW($E$2:$E$13)-ROW($E$2)+1)/(($E$2:$E$13&lt;&gt;"")*((COUNTIF($BE$2:$BE$9,$E$2:$E$13)=0)+($E$2:$E$13='2. Bästa grupptreor'!$B$10))),ROWS($BI$2:BI6))),"")</f>
        <v/>
      </c>
      <c r="BJ6" s="153" t="str">
        <f t="array" aca="1" ref="BJ6" ca="1">IFERROR(INDEX($E$2:$E$13,_xludf.AGGREGATE(15,6,(ROW($E$2:$E$13)-ROW($E$2)+1)/(($E$2:$E$13&lt;&gt;"")*((COUNTIF($BE$2:$BE$9,$E$2:$E$13)=0)+($E$2:$E$13='2. Bästa grupptreor'!$B$12))),ROWS($BJ$2:BJ6))),"")</f>
        <v/>
      </c>
      <c r="BK6" s="153" t="str">
        <f t="array" aca="1" ref="BK6" ca="1">IFERROR(INDEX($E$2:$E$13,_xludf.AGGREGATE(15,6,(ROW($E$2:$E$13)-ROW($E$2)+1)/(($E$2:$E$13&lt;&gt;"")*((COUNTIF($BE$2:$BE$9,$E$2:$E$13)=0)+($E$2:$E$13='2. Bästa grupptreor'!$B$14))),ROWS($BK$2:BK6))),"")</f>
        <v/>
      </c>
      <c r="BL6" s="153" t="str">
        <f t="array" aca="1" ref="BL6" ca="1">IFERROR(INDEX($E$2:$E$13,_xludf.AGGREGATE(15,6,(ROW($E$2:$E$13)-ROW($E$2)+1)/(($E$2:$E$13&lt;&gt;"")*((COUNTIF($BE$2:$BE$9,$E$2:$E$13)=0)+($E$2:$E$13='2. Bästa grupptreor'!$B$16))),ROWS($BL$2:BL6))),"")</f>
        <v/>
      </c>
      <c r="BM6" s="153" t="str">
        <f t="array" aca="1" ref="BM6" ca="1">IFERROR(INDEX($E$2:$E$13,_xludf.AGGREGATE(15,6,(ROW($E$2:$E$13)-ROW($E$2)+1)/(($E$2:$E$13&lt;&gt;"")*((COUNTIF($BE$2:$BE$9,$E$2:$E$13)=0)+($E$2:$E$13='2. Bästa grupptreor'!$B$18))),ROWS($BM$2:BM6))),"")</f>
        <v/>
      </c>
      <c r="BN6" s="153" t="str">
        <f t="array" ref="BN6">IF('2. Bästa grupptreor'!B12="","",INDEX('1. Gruppspel'!$A$4:$A$15,MATCH('2. Bästa grupptreor'!B12,'1. Gruppspel'!$D$4:$D$15,0)))</f>
        <v>A</v>
      </c>
      <c r="BT6" s="156">
        <v>4</v>
      </c>
      <c r="BU6" s="156" t="str">
        <f>IF('1. Gruppspel'!B7="","",'1. Gruppspel'!B7)</f>
        <v>Turkiet</v>
      </c>
      <c r="BV6" s="156" t="s">
        <v>866</v>
      </c>
      <c r="BX6" s="157" t="s">
        <v>100</v>
      </c>
      <c r="BY6" s="158" t="str">
        <f>IF('1. Gruppspel'!$B$12="","",'1. Gruppspel'!$B$12)</f>
        <v>Frankrike</v>
      </c>
      <c r="BZ6" s="158" t="str">
        <f t="array" ref="BZ6">IF(_Listor!$BO$2="","",IFERROR(INDEX('1. Gruppspel'!$D$4:$D$15,MATCH(RIGHT(INDEX('Bilaga 3. AnnexC'!$H$2:$H$496,MATCH(_Listor!$BO$2,'Bilaga 3. AnnexC'!$B$2:$B$496,0)),1),'1. Gruppspel'!$A$4:$A$15,0)),""))</f>
        <v>Sverige</v>
      </c>
      <c r="CA6" s="159"/>
    </row>
    <row r="7" spans="1:79" ht="15.75" customHeight="1" x14ac:dyDescent="0.25">
      <c r="A7" s="153" t="s">
        <v>32</v>
      </c>
      <c r="E7" s="1" t="str">
        <f>IF('1. Gruppspel'!D9="","",'1. Gruppspel'!D9)</f>
        <v>Sverige</v>
      </c>
      <c r="F7" s="1" t="s">
        <v>50</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E7" s="153" t="str">
        <f>'2. Bästa grupptreor'!B14</f>
        <v>Paraguay</v>
      </c>
      <c r="BF7" s="153" t="str">
        <f t="array" aca="1" ref="BF7" ca="1">IFERROR(INDEX($E$2:$E$13,_xludf.AGGREGATE(15,6,(ROW($E$2:$E$13)-ROW($E$2)+1)/(($E$2:$E$13&lt;&gt;"")*((COUNTIF($BE$2:$BE$9,$E$2:$E$13)=0)+($E$2:$E$13='2. Bästa grupptreor'!$B$4))),ROWS($BF$2:BF7))),"")</f>
        <v/>
      </c>
      <c r="BG7" s="153" t="str">
        <f t="array" aca="1" ref="BG7" ca="1">IFERROR(INDEX($E$2:$E$13,_xludf.AGGREGATE(15,6,(ROW($E$2:$E$13)-ROW($E$2)+1)/(($E$2:$E$13&lt;&gt;"")*((COUNTIF($BE$2:$BE$9,$E$2:$E$13)=0)+($E$2:$E$13='2. Bästa grupptreor'!$B$6))),ROWS($BG$2:BG7))),"")</f>
        <v/>
      </c>
      <c r="BH7" s="153" t="str">
        <f t="array" aca="1" ref="BH7" ca="1">IFERROR(INDEX($E$2:$E$13,_xludf.AGGREGATE(15,6,(ROW($E$2:$E$13)-ROW($E$2)+1)/(($E$2:$E$13&lt;&gt;"")*((COUNTIF($BE$2:$BE$9,$E$2:$E$13)=0)+($E$2:$E$13='2. Bästa grupptreor'!$B$8))),ROWS($BH$2:BH7))),"")</f>
        <v/>
      </c>
      <c r="BI7" s="153" t="str">
        <f t="array" aca="1" ref="BI7" ca="1">IFERROR(INDEX($E$2:$E$13,_xludf.AGGREGATE(15,6,(ROW($E$2:$E$13)-ROW($E$2)+1)/(($E$2:$E$13&lt;&gt;"")*((COUNTIF($BE$2:$BE$9,$E$2:$E$13)=0)+($E$2:$E$13='2. Bästa grupptreor'!$B$10))),ROWS($BI$2:BI7))),"")</f>
        <v/>
      </c>
      <c r="BJ7" s="153" t="str">
        <f t="array" aca="1" ref="BJ7" ca="1">IFERROR(INDEX($E$2:$E$13,_xludf.AGGREGATE(15,6,(ROW($E$2:$E$13)-ROW($E$2)+1)/(($E$2:$E$13&lt;&gt;"")*((COUNTIF($BE$2:$BE$9,$E$2:$E$13)=0)+($E$2:$E$13='2. Bästa grupptreor'!$B$12))),ROWS($BJ$2:BJ7))),"")</f>
        <v/>
      </c>
      <c r="BK7" s="153" t="str">
        <f t="array" aca="1" ref="BK7" ca="1">IFERROR(INDEX($E$2:$E$13,_xludf.AGGREGATE(15,6,(ROW($E$2:$E$13)-ROW($E$2)+1)/(($E$2:$E$13&lt;&gt;"")*((COUNTIF($BE$2:$BE$9,$E$2:$E$13)=0)+($E$2:$E$13='2. Bästa grupptreor'!$B$14))),ROWS($BK$2:BK7))),"")</f>
        <v/>
      </c>
      <c r="BL7" s="153" t="str">
        <f t="array" aca="1" ref="BL7" ca="1">IFERROR(INDEX($E$2:$E$13,_xludf.AGGREGATE(15,6,(ROW($E$2:$E$13)-ROW($E$2)+1)/(($E$2:$E$13&lt;&gt;"")*((COUNTIF($BE$2:$BE$9,$E$2:$E$13)=0)+($E$2:$E$13='2. Bästa grupptreor'!$B$16))),ROWS($BL$2:BL7))),"")</f>
        <v/>
      </c>
      <c r="BM7" s="153" t="str">
        <f t="array" aca="1" ref="BM7" ca="1">IFERROR(INDEX($E$2:$E$13,_xludf.AGGREGATE(15,6,(ROW($E$2:$E$13)-ROW($E$2)+1)/(($E$2:$E$13&lt;&gt;"")*((COUNTIF($BE$2:$BE$9,$E$2:$E$13)=0)+($E$2:$E$13='2. Bästa grupptreor'!$B$18))),ROWS($BM$2:BM7))),"")</f>
        <v/>
      </c>
      <c r="BN7" s="153" t="str">
        <f t="array" ref="BN7">IF('2. Bästa grupptreor'!B14="","",INDEX('1. Gruppspel'!$A$4:$A$15,MATCH('2. Bästa grupptreor'!B14,'1. Gruppspel'!$D$4:$D$15,0)))</f>
        <v>D</v>
      </c>
      <c r="BT7" s="156">
        <v>5</v>
      </c>
      <c r="BU7" s="156" t="str">
        <f>IF('1. Gruppspel'!B8="","",'1. Gruppspel'!B8)</f>
        <v>Tyskland</v>
      </c>
      <c r="BV7" s="156" t="s">
        <v>867</v>
      </c>
      <c r="BX7" s="157" t="s">
        <v>96</v>
      </c>
      <c r="BY7" s="158" t="str">
        <f>IF('1. Gruppspel'!$B$6="","",'1. Gruppspel'!$B$6)</f>
        <v>Brasilien</v>
      </c>
      <c r="BZ7" s="158" t="str">
        <f>IF('1. Gruppspel'!$C$9="","",'1. Gruppspel'!$C$9)</f>
        <v>Japan</v>
      </c>
      <c r="CA7" s="159"/>
    </row>
    <row r="8" spans="1:79" ht="15.75" customHeight="1" x14ac:dyDescent="0.25">
      <c r="A8" s="153" t="s">
        <v>152</v>
      </c>
      <c r="E8" s="1" t="str">
        <f>IF('1. Gruppspel'!D10="","",'1. Gruppspel'!D10)</f>
        <v>Iran</v>
      </c>
      <c r="F8" s="1" t="s">
        <v>55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E8" s="153" t="str">
        <f>'2. Bästa grupptreor'!B16</f>
        <v>Elfenbenskusten</v>
      </c>
      <c r="BF8" s="153" t="str">
        <f t="array" aca="1" ref="BF8" ca="1">IFERROR(INDEX($E$2:$E$13,_xludf.AGGREGATE(15,6,(ROW($E$2:$E$13)-ROW($E$2)+1)/(($E$2:$E$13&lt;&gt;"")*((COUNTIF($BE$2:$BE$9,$E$2:$E$13)=0)+($E$2:$E$13='2. Bästa grupptreor'!$B$4))),ROWS($BF$2:BF8))),"")</f>
        <v/>
      </c>
      <c r="BG8" s="153" t="str">
        <f t="array" aca="1" ref="BG8" ca="1">IFERROR(INDEX($E$2:$E$13,_xludf.AGGREGATE(15,6,(ROW($E$2:$E$13)-ROW($E$2)+1)/(($E$2:$E$13&lt;&gt;"")*((COUNTIF($BE$2:$BE$9,$E$2:$E$13)=0)+($E$2:$E$13='2. Bästa grupptreor'!$B$6))),ROWS($BG$2:BG8))),"")</f>
        <v/>
      </c>
      <c r="BH8" s="153" t="str">
        <f t="array" aca="1" ref="BH8" ca="1">IFERROR(INDEX($E$2:$E$13,_xludf.AGGREGATE(15,6,(ROW($E$2:$E$13)-ROW($E$2)+1)/(($E$2:$E$13&lt;&gt;"")*((COUNTIF($BE$2:$BE$9,$E$2:$E$13)=0)+($E$2:$E$13='2. Bästa grupptreor'!$B$8))),ROWS($BH$2:BH8))),"")</f>
        <v/>
      </c>
      <c r="BI8" s="153" t="str">
        <f t="array" aca="1" ref="BI8" ca="1">IFERROR(INDEX($E$2:$E$13,_xludf.AGGREGATE(15,6,(ROW($E$2:$E$13)-ROW($E$2)+1)/(($E$2:$E$13&lt;&gt;"")*((COUNTIF($BE$2:$BE$9,$E$2:$E$13)=0)+($E$2:$E$13='2. Bästa grupptreor'!$B$10))),ROWS($BI$2:BI8))),"")</f>
        <v/>
      </c>
      <c r="BJ8" s="153" t="str">
        <f t="array" aca="1" ref="BJ8" ca="1">IFERROR(INDEX($E$2:$E$13,_xludf.AGGREGATE(15,6,(ROW($E$2:$E$13)-ROW($E$2)+1)/(($E$2:$E$13&lt;&gt;"")*((COUNTIF($BE$2:$BE$9,$E$2:$E$13)=0)+($E$2:$E$13='2. Bästa grupptreor'!$B$12))),ROWS($BJ$2:BJ8))),"")</f>
        <v/>
      </c>
      <c r="BK8" s="153" t="str">
        <f t="array" aca="1" ref="BK8" ca="1">IFERROR(INDEX($E$2:$E$13,_xludf.AGGREGATE(15,6,(ROW($E$2:$E$13)-ROW($E$2)+1)/(($E$2:$E$13&lt;&gt;"")*((COUNTIF($BE$2:$BE$9,$E$2:$E$13)=0)+($E$2:$E$13='2. Bästa grupptreor'!$B$14))),ROWS($BK$2:BK8))),"")</f>
        <v/>
      </c>
      <c r="BL8" s="153" t="str">
        <f t="array" aca="1" ref="BL8" ca="1">IFERROR(INDEX($E$2:$E$13,_xludf.AGGREGATE(15,6,(ROW($E$2:$E$13)-ROW($E$2)+1)/(($E$2:$E$13&lt;&gt;"")*((COUNTIF($BE$2:$BE$9,$E$2:$E$13)=0)+($E$2:$E$13='2. Bästa grupptreor'!$B$16))),ROWS($BL$2:BL8))),"")</f>
        <v/>
      </c>
      <c r="BM8" s="153" t="str">
        <f t="array" aca="1" ref="BM8" ca="1">IFERROR(INDEX($E$2:$E$13,_xludf.AGGREGATE(15,6,(ROW($E$2:$E$13)-ROW($E$2)+1)/(($E$2:$E$13&lt;&gt;"")*((COUNTIF($BE$2:$BE$9,$E$2:$E$13)=0)+($E$2:$E$13='2. Bästa grupptreor'!$B$18))),ROWS($BM$2:BM8))),"")</f>
        <v/>
      </c>
      <c r="BN8" s="153" t="str">
        <f t="array" ref="BN8">IF('2. Bästa grupptreor'!B16="","",INDEX('1. Gruppspel'!$A$4:$A$15,MATCH('2. Bästa grupptreor'!B16,'1. Gruppspel'!$D$4:$D$15,0)))</f>
        <v>E</v>
      </c>
      <c r="BT8" s="156">
        <v>6</v>
      </c>
      <c r="BU8" s="156" t="str">
        <f>IF('1. Gruppspel'!B9="","",'1. Gruppspel'!B9)</f>
        <v>Nederländerna</v>
      </c>
      <c r="BV8" s="156" t="s">
        <v>868</v>
      </c>
      <c r="BX8" s="157" t="s">
        <v>101</v>
      </c>
      <c r="BY8" s="158" t="str">
        <f>IF('1. Gruppspel'!$C$8="","",'1. Gruppspel'!$C$8)</f>
        <v>Ecuador</v>
      </c>
      <c r="BZ8" s="158" t="str">
        <f>IF('1. Gruppspel'!$C$12="","",'1. Gruppspel'!$C$12)</f>
        <v>Norge</v>
      </c>
      <c r="CA8" s="159"/>
    </row>
    <row r="9" spans="1:79" ht="15.75" customHeight="1" x14ac:dyDescent="0.25">
      <c r="A9" s="153" t="s">
        <v>31</v>
      </c>
      <c r="E9" s="1" t="str">
        <f>IF('1. Gruppspel'!D11="","",'1. Gruppspel'!D11)</f>
        <v>Saudiarabien</v>
      </c>
      <c r="F9" s="1" t="s">
        <v>60</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E9" s="153" t="str">
        <f>'2. Bästa grupptreor'!B18</f>
        <v>Senegal</v>
      </c>
      <c r="BF9" s="153" t="str">
        <f t="array" aca="1" ref="BF9" ca="1">IFERROR(INDEX($E$2:$E$13,_xludf.AGGREGATE(15,6,(ROW($E$2:$E$13)-ROW($E$2)+1)/(($E$2:$E$13&lt;&gt;"")*((COUNTIF($BE$2:$BE$9,$E$2:$E$13)=0)+($E$2:$E$13='2. Bästa grupptreor'!$B$4))),ROWS($BF$2:BF9))),"")</f>
        <v/>
      </c>
      <c r="BG9" s="153" t="str">
        <f t="array" aca="1" ref="BG9" ca="1">IFERROR(INDEX($E$2:$E$13,_xludf.AGGREGATE(15,6,(ROW($E$2:$E$13)-ROW($E$2)+1)/(($E$2:$E$13&lt;&gt;"")*((COUNTIF($BE$2:$BE$9,$E$2:$E$13)=0)+($E$2:$E$13='2. Bästa grupptreor'!$B$6))),ROWS($BG$2:BG9))),"")</f>
        <v/>
      </c>
      <c r="BH9" s="153" t="str">
        <f t="array" aca="1" ref="BH9" ca="1">IFERROR(INDEX($E$2:$E$13,_xludf.AGGREGATE(15,6,(ROW($E$2:$E$13)-ROW($E$2)+1)/(($E$2:$E$13&lt;&gt;"")*((COUNTIF($BE$2:$BE$9,$E$2:$E$13)=0)+($E$2:$E$13='2. Bästa grupptreor'!$B$8))),ROWS($BH$2:BH9))),"")</f>
        <v/>
      </c>
      <c r="BI9" s="153" t="str">
        <f t="array" aca="1" ref="BI9" ca="1">IFERROR(INDEX($E$2:$E$13,_xludf.AGGREGATE(15,6,(ROW($E$2:$E$13)-ROW($E$2)+1)/(($E$2:$E$13&lt;&gt;"")*((COUNTIF($BE$2:$BE$9,$E$2:$E$13)=0)+($E$2:$E$13='2. Bästa grupptreor'!$B$10))),ROWS($BI$2:BI9))),"")</f>
        <v/>
      </c>
      <c r="BJ9" s="153" t="str">
        <f t="array" aca="1" ref="BJ9" ca="1">IFERROR(INDEX($E$2:$E$13,_xludf.AGGREGATE(15,6,(ROW($E$2:$E$13)-ROW($E$2)+1)/(($E$2:$E$13&lt;&gt;"")*((COUNTIF($BE$2:$BE$9,$E$2:$E$13)=0)+($E$2:$E$13='2. Bästa grupptreor'!$B$12))),ROWS($BJ$2:BJ9))),"")</f>
        <v/>
      </c>
      <c r="BK9" s="153" t="str">
        <f t="array" aca="1" ref="BK9" ca="1">IFERROR(INDEX($E$2:$E$13,_xludf.AGGREGATE(15,6,(ROW($E$2:$E$13)-ROW($E$2)+1)/(($E$2:$E$13&lt;&gt;"")*((COUNTIF($BE$2:$BE$9,$E$2:$E$13)=0)+($E$2:$E$13='2. Bästa grupptreor'!$B$14))),ROWS($BK$2:BK9))),"")</f>
        <v/>
      </c>
      <c r="BL9" s="153" t="str">
        <f t="array" aca="1" ref="BL9" ca="1">IFERROR(INDEX($E$2:$E$13,_xludf.AGGREGATE(15,6,(ROW($E$2:$E$13)-ROW($E$2)+1)/(($E$2:$E$13&lt;&gt;"")*((COUNTIF($BE$2:$BE$9,$E$2:$E$13)=0)+($E$2:$E$13='2. Bästa grupptreor'!$B$16))),ROWS($BL$2:BL9))),"")</f>
        <v/>
      </c>
      <c r="BM9" s="153" t="str">
        <f t="array" aca="1" ref="BM9" ca="1">IFERROR(INDEX($E$2:$E$13,_xludf.AGGREGATE(15,6,(ROW($E$2:$E$13)-ROW($E$2)+1)/(($E$2:$E$13&lt;&gt;"")*((COUNTIF($BE$2:$BE$9,$E$2:$E$13)=0)+($E$2:$E$13='2. Bästa grupptreor'!$B$18))),ROWS($BM$2:BM9))),"")</f>
        <v/>
      </c>
      <c r="BN9" s="153" t="str">
        <f t="array" ref="BN9">IF('2. Bästa grupptreor'!B18="","",INDEX('1. Gruppspel'!$A$4:$A$15,MATCH('2. Bästa grupptreor'!B18,'1. Gruppspel'!$D$4:$D$15,0)))</f>
        <v>I</v>
      </c>
      <c r="BT9" s="156">
        <v>7</v>
      </c>
      <c r="BU9" s="156" t="str">
        <f>IF('1. Gruppspel'!B10="","",'1. Gruppspel'!B10)</f>
        <v>Belgien</v>
      </c>
      <c r="BV9" s="156" t="s">
        <v>869</v>
      </c>
      <c r="BX9" s="157" t="s">
        <v>107</v>
      </c>
      <c r="BY9" s="158" t="str">
        <f>IF('1. Gruppspel'!$B$4="","",'1. Gruppspel'!$B$4)</f>
        <v>Sydkorea</v>
      </c>
      <c r="BZ9" s="158" t="str">
        <f t="array" ref="BZ9">IF(_Listor!$BO$2="","",IFERROR(INDEX('1. Gruppspel'!$D$4:$D$15,MATCH(RIGHT(INDEX('Bilaga 3. AnnexC'!$C$2:$C$496,MATCH(_Listor!$BO$2,'Bilaga 3. AnnexC'!$B$2:$B$496,0)),1),'1. Gruppspel'!$A$4:$A$15,0)),""))</f>
        <v>Skottland</v>
      </c>
      <c r="CA9" s="159"/>
    </row>
    <row r="10" spans="1:79" ht="15.75" customHeight="1" x14ac:dyDescent="0.25">
      <c r="A10" s="153" t="s">
        <v>36</v>
      </c>
      <c r="E10" s="1" t="str">
        <f>IF('1. Gruppspel'!D12="","",'1. Gruppspel'!D12)</f>
        <v>Senegal</v>
      </c>
      <c r="F10" s="1" t="s">
        <v>65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F10" s="153" t="str">
        <f t="array" aca="1" ref="BF10" ca="1">IFERROR(INDEX($E$2:$E$13,_xludf.AGGREGATE(15,6,(ROW($E$2:$E$13)-ROW($E$2)+1)/(($E$2:$E$13&lt;&gt;"")*((COUNTIF($BE$2:$BE$9,$E$2:$E$13)=0)+($E$2:$E$13='2. Bästa grupptreor'!$B$4))),ROWS($BF$2:BF10))),"")</f>
        <v/>
      </c>
      <c r="BG10" s="153" t="str">
        <f t="array" aca="1" ref="BG10" ca="1">IFERROR(INDEX($E$2:$E$13,_xludf.AGGREGATE(15,6,(ROW($E$2:$E$13)-ROW($E$2)+1)/(($E$2:$E$13&lt;&gt;"")*((COUNTIF($BE$2:$BE$9,$E$2:$E$13)=0)+($E$2:$E$13='2. Bästa grupptreor'!$B$6))),ROWS($BG$2:BG10))),"")</f>
        <v/>
      </c>
      <c r="BH10" s="153" t="str">
        <f t="array" aca="1" ref="BH10" ca="1">IFERROR(INDEX($E$2:$E$13,_xludf.AGGREGATE(15,6,(ROW($E$2:$E$13)-ROW($E$2)+1)/(($E$2:$E$13&lt;&gt;"")*((COUNTIF($BE$2:$BE$9,$E$2:$E$13)=0)+($E$2:$E$13='2. Bästa grupptreor'!$B$8))),ROWS($BH$2:BH10))),"")</f>
        <v/>
      </c>
      <c r="BI10" s="153" t="str">
        <f t="array" aca="1" ref="BI10" ca="1">IFERROR(INDEX($E$2:$E$13,_xludf.AGGREGATE(15,6,(ROW($E$2:$E$13)-ROW($E$2)+1)/(($E$2:$E$13&lt;&gt;"")*((COUNTIF($BE$2:$BE$9,$E$2:$E$13)=0)+($E$2:$E$13='2. Bästa grupptreor'!$B$10))),ROWS($BI$2:BI10))),"")</f>
        <v/>
      </c>
      <c r="BJ10" s="153" t="str">
        <f t="array" aca="1" ref="BJ10" ca="1">IFERROR(INDEX($E$2:$E$13,_xludf.AGGREGATE(15,6,(ROW($E$2:$E$13)-ROW($E$2)+1)/(($E$2:$E$13&lt;&gt;"")*((COUNTIF($BE$2:$BE$9,$E$2:$E$13)=0)+($E$2:$E$13='2. Bästa grupptreor'!$B$12))),ROWS($BJ$2:BJ10))),"")</f>
        <v/>
      </c>
      <c r="BK10" s="153" t="str">
        <f t="array" aca="1" ref="BK10" ca="1">IFERROR(INDEX($E$2:$E$13,_xludf.AGGREGATE(15,6,(ROW($E$2:$E$13)-ROW($E$2)+1)/(($E$2:$E$13&lt;&gt;"")*((COUNTIF($BE$2:$BE$9,$E$2:$E$13)=0)+($E$2:$E$13='2. Bästa grupptreor'!$B$14))),ROWS($BK$2:BK10))),"")</f>
        <v/>
      </c>
      <c r="BL10" s="153" t="str">
        <f t="array" aca="1" ref="BL10" ca="1">IFERROR(INDEX($E$2:$E$13,_xludf.AGGREGATE(15,6,(ROW($E$2:$E$13)-ROW($E$2)+1)/(($E$2:$E$13&lt;&gt;"")*((COUNTIF($BE$2:$BE$9,$E$2:$E$13)=0)+($E$2:$E$13='2. Bästa grupptreor'!$B$16))),ROWS($BL$2:BL10))),"")</f>
        <v/>
      </c>
      <c r="BM10" s="153" t="str">
        <f t="array" aca="1" ref="BM10" ca="1">IFERROR(INDEX($E$2:$E$13,_xludf.AGGREGATE(15,6,(ROW($E$2:$E$13)-ROW($E$2)+1)/(($E$2:$E$13&lt;&gt;"")*((COUNTIF($BE$2:$BE$9,$E$2:$E$13)=0)+($E$2:$E$13='2. Bästa grupptreor'!$B$18))),ROWS($BM$2:BM10))),"")</f>
        <v/>
      </c>
      <c r="BT10" s="156">
        <v>8</v>
      </c>
      <c r="BU10" s="156" t="str">
        <f>IF('1. Gruppspel'!B11="","",'1. Gruppspel'!B11)</f>
        <v>Spanien</v>
      </c>
      <c r="BV10" s="156" t="s">
        <v>870</v>
      </c>
      <c r="BX10" s="157" t="s">
        <v>113</v>
      </c>
      <c r="BY10" s="158" t="str">
        <f>IF('1. Gruppspel'!$B$15="","",'1. Gruppspel'!$B$15)</f>
        <v>Kroatien</v>
      </c>
      <c r="BZ10" s="158" t="str">
        <f t="array" ref="BZ10">IF(_Listor!$BO$2="","",IFERROR(INDEX('1. Gruppspel'!$D$4:$D$15,MATCH(RIGHT(INDEX('Bilaga 3. AnnexC'!$J$2:$J$496,MATCH(_Listor!$BO$2,'Bilaga 3. AnnexC'!$B$2:$B$496,0)),1),'1. Gruppspel'!$A$4:$A$15,0)),""))</f>
        <v>DR Kongo</v>
      </c>
      <c r="CA10" s="159"/>
    </row>
    <row r="11" spans="1:79" ht="15.75" customHeight="1" x14ac:dyDescent="0.25">
      <c r="A11" s="153" t="s">
        <v>156</v>
      </c>
      <c r="E11" s="1" t="str">
        <f>IF('1. Gruppspel'!D13="","",'1. Gruppspel'!D13)</f>
        <v>Algeriet</v>
      </c>
      <c r="F11" s="1" t="s">
        <v>70</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F11" s="153" t="str">
        <f t="array" aca="1" ref="BF11" ca="1">IFERROR(INDEX($E$2:$E$13,_xludf.AGGREGATE(15,6,(ROW($E$2:$E$13)-ROW($E$2)+1)/(($E$2:$E$13&lt;&gt;"")*((COUNTIF($BE$2:$BE$9,$E$2:$E$13)=0)+($E$2:$E$13='2. Bästa grupptreor'!$B$4))),ROWS($BF$2:BF11))),"")</f>
        <v/>
      </c>
      <c r="BG11" s="153" t="str">
        <f t="array" aca="1" ref="BG11" ca="1">IFERROR(INDEX($E$2:$E$13,_xludf.AGGREGATE(15,6,(ROW($E$2:$E$13)-ROW($E$2)+1)/(($E$2:$E$13&lt;&gt;"")*((COUNTIF($BE$2:$BE$9,$E$2:$E$13)=0)+($E$2:$E$13='2. Bästa grupptreor'!$B$6))),ROWS($BG$2:BG11))),"")</f>
        <v/>
      </c>
      <c r="BH11" s="153" t="str">
        <f t="array" aca="1" ref="BH11" ca="1">IFERROR(INDEX($E$2:$E$13,_xludf.AGGREGATE(15,6,(ROW($E$2:$E$13)-ROW($E$2)+1)/(($E$2:$E$13&lt;&gt;"")*((COUNTIF($BE$2:$BE$9,$E$2:$E$13)=0)+($E$2:$E$13='2. Bästa grupptreor'!$B$8))),ROWS($BH$2:BH11))),"")</f>
        <v/>
      </c>
      <c r="BI11" s="153" t="str">
        <f t="array" aca="1" ref="BI11" ca="1">IFERROR(INDEX($E$2:$E$13,_xludf.AGGREGATE(15,6,(ROW($E$2:$E$13)-ROW($E$2)+1)/(($E$2:$E$13&lt;&gt;"")*((COUNTIF($BE$2:$BE$9,$E$2:$E$13)=0)+($E$2:$E$13='2. Bästa grupptreor'!$B$10))),ROWS($BI$2:BI11))),"")</f>
        <v/>
      </c>
      <c r="BJ11" s="153" t="str">
        <f t="array" aca="1" ref="BJ11" ca="1">IFERROR(INDEX($E$2:$E$13,_xludf.AGGREGATE(15,6,(ROW($E$2:$E$13)-ROW($E$2)+1)/(($E$2:$E$13&lt;&gt;"")*((COUNTIF($BE$2:$BE$9,$E$2:$E$13)=0)+($E$2:$E$13='2. Bästa grupptreor'!$B$12))),ROWS($BJ$2:BJ11))),"")</f>
        <v/>
      </c>
      <c r="BK11" s="153" t="str">
        <f t="array" aca="1" ref="BK11" ca="1">IFERROR(INDEX($E$2:$E$13,_xludf.AGGREGATE(15,6,(ROW($E$2:$E$13)-ROW($E$2)+1)/(($E$2:$E$13&lt;&gt;"")*((COUNTIF($BE$2:$BE$9,$E$2:$E$13)=0)+($E$2:$E$13='2. Bästa grupptreor'!$B$14))),ROWS($BK$2:BK11))),"")</f>
        <v/>
      </c>
      <c r="BL11" s="153" t="str">
        <f t="array" aca="1" ref="BL11" ca="1">IFERROR(INDEX($E$2:$E$13,_xludf.AGGREGATE(15,6,(ROW($E$2:$E$13)-ROW($E$2)+1)/(($E$2:$E$13&lt;&gt;"")*((COUNTIF($BE$2:$BE$9,$E$2:$E$13)=0)+($E$2:$E$13='2. Bästa grupptreor'!$B$16))),ROWS($BL$2:BL11))),"")</f>
        <v/>
      </c>
      <c r="BM11" s="153" t="str">
        <f t="array" aca="1" ref="BM11" ca="1">IFERROR(INDEX($E$2:$E$13,_xludf.AGGREGATE(15,6,(ROW($E$2:$E$13)-ROW($E$2)+1)/(($E$2:$E$13&lt;&gt;"")*((COUNTIF($BE$2:$BE$9,$E$2:$E$13)=0)+($E$2:$E$13='2. Bästa grupptreor'!$B$18))),ROWS($BM$2:BM11))),"")</f>
        <v/>
      </c>
      <c r="BT11" s="156">
        <v>9</v>
      </c>
      <c r="BU11" s="156" t="str">
        <f>IF('1. Gruppspel'!B12="","",'1. Gruppspel'!B12)</f>
        <v>Frankrike</v>
      </c>
      <c r="BV11" s="156" t="s">
        <v>871</v>
      </c>
      <c r="BX11" s="157" t="s">
        <v>117</v>
      </c>
      <c r="BY11" s="158" t="str">
        <f>IF('1. Gruppspel'!$C$14="","",'1. Gruppspel'!$C$14)</f>
        <v>Colombia</v>
      </c>
      <c r="BZ11" s="158" t="str">
        <f>IF('1. Gruppspel'!$C$15="","",'1. Gruppspel'!$C$15)</f>
        <v>England</v>
      </c>
      <c r="CA11" s="159"/>
    </row>
    <row r="12" spans="1:79" ht="15.75" customHeight="1" x14ac:dyDescent="0.25">
      <c r="A12" s="153" t="s">
        <v>37</v>
      </c>
      <c r="E12" s="1" t="str">
        <f>IF('1. Gruppspel'!D14="","",'1. Gruppspel'!D14)</f>
        <v>DR Kongo</v>
      </c>
      <c r="F12" s="1" t="s">
        <v>75</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F12" s="153" t="str">
        <f t="array" aca="1" ref="BF12" ca="1">IFERROR(INDEX($E$2:$E$13,_xludf.AGGREGATE(15,6,(ROW($E$2:$E$13)-ROW($E$2)+1)/(($E$2:$E$13&lt;&gt;"")*((COUNTIF($BE$2:$BE$9,$E$2:$E$13)=0)+($E$2:$E$13='2. Bästa grupptreor'!$B$4))),ROWS($BF$2:BF12))),"")</f>
        <v/>
      </c>
      <c r="BG12" s="153" t="str">
        <f t="array" aca="1" ref="BG12" ca="1">IFERROR(INDEX($E$2:$E$13,_xludf.AGGREGATE(15,6,(ROW($E$2:$E$13)-ROW($E$2)+1)/(($E$2:$E$13&lt;&gt;"")*((COUNTIF($BE$2:$BE$9,$E$2:$E$13)=0)+($E$2:$E$13='2. Bästa grupptreor'!$B$6))),ROWS($BG$2:BG12))),"")</f>
        <v/>
      </c>
      <c r="BH12" s="153" t="str">
        <f t="array" aca="1" ref="BH12" ca="1">IFERROR(INDEX($E$2:$E$13,_xludf.AGGREGATE(15,6,(ROW($E$2:$E$13)-ROW($E$2)+1)/(($E$2:$E$13&lt;&gt;"")*((COUNTIF($BE$2:$BE$9,$E$2:$E$13)=0)+($E$2:$E$13='2. Bästa grupptreor'!$B$8))),ROWS($BH$2:BH12))),"")</f>
        <v/>
      </c>
      <c r="BI12" s="153" t="str">
        <f t="array" aca="1" ref="BI12" ca="1">IFERROR(INDEX($E$2:$E$13,_xludf.AGGREGATE(15,6,(ROW($E$2:$E$13)-ROW($E$2)+1)/(($E$2:$E$13&lt;&gt;"")*((COUNTIF($BE$2:$BE$9,$E$2:$E$13)=0)+($E$2:$E$13='2. Bästa grupptreor'!$B$10))),ROWS($BI$2:BI12))),"")</f>
        <v/>
      </c>
      <c r="BJ12" s="153" t="str">
        <f t="array" aca="1" ref="BJ12" ca="1">IFERROR(INDEX($E$2:$E$13,_xludf.AGGREGATE(15,6,(ROW($E$2:$E$13)-ROW($E$2)+1)/(($E$2:$E$13&lt;&gt;"")*((COUNTIF($BE$2:$BE$9,$E$2:$E$13)=0)+($E$2:$E$13='2. Bästa grupptreor'!$B$12))),ROWS($BJ$2:BJ12))),"")</f>
        <v/>
      </c>
      <c r="BK12" s="153" t="str">
        <f t="array" aca="1" ref="BK12" ca="1">IFERROR(INDEX($E$2:$E$13,_xludf.AGGREGATE(15,6,(ROW($E$2:$E$13)-ROW($E$2)+1)/(($E$2:$E$13&lt;&gt;"")*((COUNTIF($BE$2:$BE$9,$E$2:$E$13)=0)+($E$2:$E$13='2. Bästa grupptreor'!$B$14))),ROWS($BK$2:BK12))),"")</f>
        <v/>
      </c>
      <c r="BL12" s="153" t="str">
        <f t="array" aca="1" ref="BL12" ca="1">IFERROR(INDEX($E$2:$E$13,_xludf.AGGREGATE(15,6,(ROW($E$2:$E$13)-ROW($E$2)+1)/(($E$2:$E$13&lt;&gt;"")*((COUNTIF($BE$2:$BE$9,$E$2:$E$13)=0)+($E$2:$E$13='2. Bästa grupptreor'!$B$16))),ROWS($BL$2:BL12))),"")</f>
        <v/>
      </c>
      <c r="BM12" s="153" t="str">
        <f t="array" aca="1" ref="BM12" ca="1">IFERROR(INDEX($E$2:$E$13,_xludf.AGGREGATE(15,6,(ROW($E$2:$E$13)-ROW($E$2)+1)/(($E$2:$E$13&lt;&gt;"")*((COUNTIF($BE$2:$BE$9,$E$2:$E$13)=0)+($E$2:$E$13='2. Bästa grupptreor'!$B$18))),ROWS($BM$2:BM12))),"")</f>
        <v/>
      </c>
      <c r="BT12" s="156">
        <v>10</v>
      </c>
      <c r="BU12" s="156" t="str">
        <f>IF('1. Gruppspel'!B13="","",'1. Gruppspel'!B13)</f>
        <v>Argentina</v>
      </c>
      <c r="BV12" s="156" t="s">
        <v>872</v>
      </c>
      <c r="BX12" s="157" t="s">
        <v>123</v>
      </c>
      <c r="BY12" s="158" t="str">
        <f>IF('1. Gruppspel'!$B$11="","",'1. Gruppspel'!$B$11)</f>
        <v>Spanien</v>
      </c>
      <c r="BZ12" s="158" t="str">
        <f>IF('1. Gruppspel'!$C$13="","",'1. Gruppspel'!$C$13)</f>
        <v>Österrike</v>
      </c>
      <c r="CA12" s="159"/>
    </row>
    <row r="13" spans="1:79" ht="15.75" customHeight="1" x14ac:dyDescent="0.25">
      <c r="A13" s="153" t="s">
        <v>38</v>
      </c>
      <c r="E13" s="1" t="str">
        <f>IF('1. Gruppspel'!D15="","",'1. Gruppspel'!D15)</f>
        <v>Panama</v>
      </c>
      <c r="F13" s="1" t="s">
        <v>80</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F13" s="153" t="str">
        <f t="array" aca="1" ref="BF13" ca="1">IFERROR(INDEX($E$2:$E$13,_xludf.AGGREGATE(15,6,(ROW($E$2:$E$13)-ROW($E$2)+1)/(($E$2:$E$13&lt;&gt;"")*((COUNTIF($BE$2:$BE$9,$E$2:$E$13)=0)+($E$2:$E$13='2. Bästa grupptreor'!$B$4))),ROWS($BF$2:BF13))),"")</f>
        <v/>
      </c>
      <c r="BG13" s="153" t="str">
        <f t="array" aca="1" ref="BG13" ca="1">IFERROR(INDEX($E$2:$E$13,_xludf.AGGREGATE(15,6,(ROW($E$2:$E$13)-ROW($E$2)+1)/(($E$2:$E$13&lt;&gt;"")*((COUNTIF($BE$2:$BE$9,$E$2:$E$13)=0)+($E$2:$E$13='2. Bästa grupptreor'!$B$6))),ROWS($BG$2:BG13))),"")</f>
        <v/>
      </c>
      <c r="BH13" s="153" t="str">
        <f t="array" aca="1" ref="BH13" ca="1">IFERROR(INDEX($E$2:$E$13,_xludf.AGGREGATE(15,6,(ROW($E$2:$E$13)-ROW($E$2)+1)/(($E$2:$E$13&lt;&gt;"")*((COUNTIF($BE$2:$BE$9,$E$2:$E$13)=0)+($E$2:$E$13='2. Bästa grupptreor'!$B$8))),ROWS($BH$2:BH13))),"")</f>
        <v/>
      </c>
      <c r="BI13" s="153" t="str">
        <f t="array" aca="1" ref="BI13" ca="1">IFERROR(INDEX($E$2:$E$13,_xludf.AGGREGATE(15,6,(ROW($E$2:$E$13)-ROW($E$2)+1)/(($E$2:$E$13&lt;&gt;"")*((COUNTIF($BE$2:$BE$9,$E$2:$E$13)=0)+($E$2:$E$13='2. Bästa grupptreor'!$B$10))),ROWS($BI$2:BI13))),"")</f>
        <v/>
      </c>
      <c r="BJ13" s="153" t="str">
        <f t="array" aca="1" ref="BJ13" ca="1">IFERROR(INDEX($E$2:$E$13,_xludf.AGGREGATE(15,6,(ROW($E$2:$E$13)-ROW($E$2)+1)/(($E$2:$E$13&lt;&gt;"")*((COUNTIF($BE$2:$BE$9,$E$2:$E$13)=0)+($E$2:$E$13='2. Bästa grupptreor'!$B$12))),ROWS($BJ$2:BJ13))),"")</f>
        <v/>
      </c>
      <c r="BK13" s="153" t="str">
        <f t="array" aca="1" ref="BK13" ca="1">IFERROR(INDEX($E$2:$E$13,_xludf.AGGREGATE(15,6,(ROW($E$2:$E$13)-ROW($E$2)+1)/(($E$2:$E$13&lt;&gt;"")*((COUNTIF($BE$2:$BE$9,$E$2:$E$13)=0)+($E$2:$E$13='2. Bästa grupptreor'!$B$14))),ROWS($BK$2:BK13))),"")</f>
        <v/>
      </c>
      <c r="BL13" s="153" t="str">
        <f t="array" aca="1" ref="BL13" ca="1">IFERROR(INDEX($E$2:$E$13,_xludf.AGGREGATE(15,6,(ROW($E$2:$E$13)-ROW($E$2)+1)/(($E$2:$E$13&lt;&gt;"")*((COUNTIF($BE$2:$BE$9,$E$2:$E$13)=0)+($E$2:$E$13='2. Bästa grupptreor'!$B$16))),ROWS($BL$2:BL13))),"")</f>
        <v/>
      </c>
      <c r="BM13" s="153" t="str">
        <f t="array" aca="1" ref="BM13" ca="1">IFERROR(INDEX($E$2:$E$13,_xludf.AGGREGATE(15,6,(ROW($E$2:$E$13)-ROW($E$2)+1)/(($E$2:$E$13&lt;&gt;"")*((COUNTIF($BE$2:$BE$9,$E$2:$E$13)=0)+($E$2:$E$13='2. Bästa grupptreor'!$B$18))),ROWS($BM$2:BM13))),"")</f>
        <v/>
      </c>
      <c r="BT13" s="156">
        <v>11</v>
      </c>
      <c r="BU13" s="156" t="str">
        <f>IF('1. Gruppspel'!B14="","",'1. Gruppspel'!B14)</f>
        <v>Portugal</v>
      </c>
      <c r="BV13" s="156" t="s">
        <v>873</v>
      </c>
      <c r="BX13" s="157" t="s">
        <v>128</v>
      </c>
      <c r="BY13" s="158" t="str">
        <f>IF('1. Gruppspel'!$B$7="","",'1. Gruppspel'!$B$7)</f>
        <v>Turkiet</v>
      </c>
      <c r="BZ13" s="158" t="str">
        <f t="array" ref="BZ13">IF(_Listor!$BO$2="","",IFERROR(INDEX('1. Gruppspel'!$D$4:$D$15,MATCH(RIGHT(INDEX('Bilaga 3. AnnexC'!$E$2:$E$496,MATCH(_Listor!$BO$2,'Bilaga 3. AnnexC'!$B$2:$B$496,0)),1),'1. Gruppspel'!$A$4:$A$15,0)),""))</f>
        <v>Kanada</v>
      </c>
      <c r="CA13" s="159"/>
    </row>
    <row r="14" spans="1:79" ht="15.75" customHeight="1" x14ac:dyDescent="0.25">
      <c r="A14" s="153" t="s">
        <v>42</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T14" s="156">
        <v>12</v>
      </c>
      <c r="BU14" s="156" t="str">
        <f>IF('1. Gruppspel'!B15="","",'1. Gruppspel'!B15)</f>
        <v>Kroatien</v>
      </c>
      <c r="BV14" s="156" t="s">
        <v>874</v>
      </c>
      <c r="BX14" s="157" t="s">
        <v>132</v>
      </c>
      <c r="BY14" s="158" t="str">
        <f>IF('1. Gruppspel'!$B$10="","",'1. Gruppspel'!$B$10)</f>
        <v>Belgien</v>
      </c>
      <c r="BZ14" s="158" t="str">
        <f t="array" ref="BZ14">IF(_Listor!$BO$2="","",IFERROR(INDEX('1. Gruppspel'!$D$4:$D$15,MATCH(RIGHT(INDEX('Bilaga 3. AnnexC'!$G$2:$G$496,MATCH(_Listor!$BO$2,'Bilaga 3. AnnexC'!$B$2:$B$496,0)),1),'1. Gruppspel'!$A$4:$A$15,0)),""))</f>
        <v>Tjeckien</v>
      </c>
      <c r="CA14" s="159"/>
    </row>
    <row r="15" spans="1:79" ht="15.75" customHeight="1" x14ac:dyDescent="0.25">
      <c r="A15" s="153" t="s">
        <v>160</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T15" s="156">
        <v>13</v>
      </c>
      <c r="BU15" s="156" t="str">
        <f>IF('1. Gruppspel'!C4="","",'1. Gruppspel'!C4)</f>
        <v>Mexiko</v>
      </c>
      <c r="BV15" s="156" t="s">
        <v>875</v>
      </c>
      <c r="BX15" s="157" t="s">
        <v>118</v>
      </c>
      <c r="BY15" s="158" t="str">
        <f>IF('1. Gruppspel'!$B$13="","",'1. Gruppspel'!$B$13)</f>
        <v>Argentina</v>
      </c>
      <c r="BZ15" s="158" t="str">
        <f>IF('1. Gruppspel'!$C$11="","",'1. Gruppspel'!$C$11)</f>
        <v>Uruguay</v>
      </c>
      <c r="CA15" s="159"/>
    </row>
    <row r="16" spans="1:79" ht="15.75" customHeight="1" x14ac:dyDescent="0.25">
      <c r="A16" s="153" t="s">
        <v>43</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T16" s="156">
        <v>14</v>
      </c>
      <c r="BU16" s="156" t="str">
        <f>IF('1. Gruppspel'!C5="","",'1. Gruppspel'!C5)</f>
        <v>Bosnien och Hercegovina</v>
      </c>
      <c r="BV16" s="156" t="s">
        <v>876</v>
      </c>
      <c r="BX16" s="157" t="s">
        <v>125</v>
      </c>
      <c r="BY16" s="158" t="str">
        <f>IF('1. Gruppspel'!$C$7="","",'1. Gruppspel'!$C$7)</f>
        <v>USA</v>
      </c>
      <c r="BZ16" s="158" t="str">
        <f>IF('1. Gruppspel'!$C$10="","",'1. Gruppspel'!$C$10)</f>
        <v>Egypten</v>
      </c>
      <c r="CA16" s="159"/>
    </row>
    <row r="17" spans="1:79" ht="15.75" customHeight="1" x14ac:dyDescent="0.25">
      <c r="A17" s="153" t="s">
        <v>41</v>
      </c>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T17" s="156">
        <v>15</v>
      </c>
      <c r="BU17" s="156" t="str">
        <f>IF('1. Gruppspel'!C6="","",'1. Gruppspel'!C6)</f>
        <v>Marocko</v>
      </c>
      <c r="BV17" s="156" t="s">
        <v>877</v>
      </c>
      <c r="BX17" s="157" t="s">
        <v>129</v>
      </c>
      <c r="BY17" s="158" t="str">
        <f>IF('1. Gruppspel'!$B$5="","",'1. Gruppspel'!$B$5)</f>
        <v>Schweiz</v>
      </c>
      <c r="BZ17" s="158" t="str">
        <f t="array" ref="BZ17">IF(_Listor!$BO$2="","",IFERROR(INDEX('1. Gruppspel'!$D$4:$D$15,MATCH(RIGHT(INDEX('Bilaga 3. AnnexC'!$D$2:$D$496,MATCH(_Listor!$BO$2,'Bilaga 3. AnnexC'!$B$2:$B$496,0)),1),'1. Gruppspel'!$A$4:$A$15,0)),""))</f>
        <v>Elfenbenskusten</v>
      </c>
      <c r="CA17" s="159"/>
    </row>
    <row r="18" spans="1:79" ht="15.75" customHeight="1" x14ac:dyDescent="0.25">
      <c r="A18" s="153" t="s">
        <v>164</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T18" s="156">
        <v>16</v>
      </c>
      <c r="BU18" s="156" t="str">
        <f>IF('1. Gruppspel'!C7="","",'1. Gruppspel'!C7)</f>
        <v>USA</v>
      </c>
      <c r="BV18" s="156" t="s">
        <v>878</v>
      </c>
      <c r="BX18" s="157" t="s">
        <v>133</v>
      </c>
      <c r="BY18" s="158" t="str">
        <f>IF('1. Gruppspel'!$B$14="","",'1. Gruppspel'!$B$14)</f>
        <v>Portugal</v>
      </c>
      <c r="BZ18" s="158" t="str">
        <f t="array" ref="BZ18">IF(_Listor!$BO$2="","",IFERROR(INDEX('1. Gruppspel'!$D$4:$D$15,MATCH(RIGHT(INDEX('Bilaga 3. AnnexC'!$I$2:$I$496,MATCH(_Listor!$BO$2,'Bilaga 3. AnnexC'!$B$2:$B$496,0)),1),'1. Gruppspel'!$A$4:$A$15,0)),""))</f>
        <v>Senegal</v>
      </c>
      <c r="CA18" s="159"/>
    </row>
    <row r="19" spans="1:79" x14ac:dyDescent="0.25">
      <c r="A19" s="153" t="s">
        <v>47</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T19" s="156">
        <v>17</v>
      </c>
      <c r="BU19" s="156" t="str">
        <f>IF('1. Gruppspel'!C8="","",'1. Gruppspel'!C8)</f>
        <v>Ecuador</v>
      </c>
      <c r="BV19" s="156" t="s">
        <v>879</v>
      </c>
    </row>
    <row r="20" spans="1:79" x14ac:dyDescent="0.25">
      <c r="A20" s="153" t="s">
        <v>46</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T20" s="156">
        <v>18</v>
      </c>
      <c r="BU20" s="156" t="str">
        <f>IF('1. Gruppspel'!C9="","",'1. Gruppspel'!C9)</f>
        <v>Japan</v>
      </c>
      <c r="BV20" s="156" t="s">
        <v>880</v>
      </c>
    </row>
    <row r="21" spans="1:79" ht="15.75" customHeight="1" x14ac:dyDescent="0.25">
      <c r="A21" s="153" t="s">
        <v>48</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T21" s="156">
        <v>19</v>
      </c>
      <c r="BU21" s="156" t="str">
        <f>IF('1. Gruppspel'!C10="","",'1. Gruppspel'!C10)</f>
        <v>Egypten</v>
      </c>
      <c r="BV21" s="156" t="s">
        <v>881</v>
      </c>
      <c r="BX21" s="186" t="s">
        <v>882</v>
      </c>
      <c r="BY21" s="185"/>
      <c r="BZ21" s="185"/>
      <c r="CA21" s="185"/>
    </row>
    <row r="22" spans="1:79" ht="15.75" customHeight="1" x14ac:dyDescent="0.25">
      <c r="A22" s="153" t="s">
        <v>51</v>
      </c>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T22" s="156">
        <v>20</v>
      </c>
      <c r="BU22" s="156" t="str">
        <f>IF('1. Gruppspel'!C11="","",'1. Gruppspel'!C11)</f>
        <v>Uruguay</v>
      </c>
      <c r="BV22" s="156" t="s">
        <v>883</v>
      </c>
      <c r="BX22" s="156" t="s">
        <v>884</v>
      </c>
      <c r="BY22" s="156" t="s">
        <v>885</v>
      </c>
      <c r="BZ22" s="160"/>
      <c r="CA22" s="160"/>
    </row>
    <row r="23" spans="1:79" ht="15.75" customHeight="1" x14ac:dyDescent="0.25">
      <c r="A23" s="153" t="s">
        <v>52</v>
      </c>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T23" s="156">
        <v>21</v>
      </c>
      <c r="BU23" s="156" t="str">
        <f>IF('1. Gruppspel'!C12="","",'1. Gruppspel'!C12)</f>
        <v>Norge</v>
      </c>
      <c r="BV23" s="156" t="s">
        <v>886</v>
      </c>
      <c r="BX23" s="52" t="s">
        <v>887</v>
      </c>
      <c r="BY23" s="52" t="s">
        <v>888</v>
      </c>
      <c r="BZ23" s="160"/>
      <c r="CA23" s="160"/>
    </row>
    <row r="24" spans="1:79" ht="15.75" customHeight="1" x14ac:dyDescent="0.25">
      <c r="A24" s="153" t="s">
        <v>53</v>
      </c>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T24" s="156">
        <v>22</v>
      </c>
      <c r="BU24" s="156" t="str">
        <f>IF('1. Gruppspel'!C13="","",'1. Gruppspel'!C13)</f>
        <v>Österrike</v>
      </c>
      <c r="BV24" s="156" t="s">
        <v>889</v>
      </c>
      <c r="BX24" s="50" t="s">
        <v>890</v>
      </c>
      <c r="BY24" s="50" t="s">
        <v>891</v>
      </c>
      <c r="BZ24" s="160"/>
      <c r="CA24" s="160"/>
    </row>
    <row r="25" spans="1:79" ht="15.75" customHeight="1" x14ac:dyDescent="0.25">
      <c r="A25" s="153" t="s">
        <v>172</v>
      </c>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T25" s="156">
        <v>23</v>
      </c>
      <c r="BU25" s="156" t="str">
        <f>IF('1. Gruppspel'!C14="","",'1. Gruppspel'!C14)</f>
        <v>Colombia</v>
      </c>
      <c r="BV25" s="156" t="s">
        <v>892</v>
      </c>
    </row>
    <row r="26" spans="1:79" ht="15.75" customHeight="1" x14ac:dyDescent="0.25">
      <c r="A26" s="153" t="s">
        <v>56</v>
      </c>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T26" s="156">
        <v>24</v>
      </c>
      <c r="BU26" s="156" t="str">
        <f>IF('1. Gruppspel'!C15="","",'1. Gruppspel'!C15)</f>
        <v>England</v>
      </c>
      <c r="BV26" s="156" t="s">
        <v>893</v>
      </c>
    </row>
    <row r="27" spans="1:79" ht="15.75" customHeight="1" x14ac:dyDescent="0.25">
      <c r="A27" s="153" t="s">
        <v>57</v>
      </c>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79" ht="15.75" customHeight="1" x14ac:dyDescent="0.25">
      <c r="A28" s="153" t="s">
        <v>58</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79" ht="15.75" customHeight="1" x14ac:dyDescent="0.25">
      <c r="A29" s="153" t="s">
        <v>177</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79" ht="15.75" customHeight="1" x14ac:dyDescent="0.25">
      <c r="A30" s="153" t="s">
        <v>179</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79" ht="15.75" customHeight="1" x14ac:dyDescent="0.25">
      <c r="A31" s="153" t="s">
        <v>63</v>
      </c>
    </row>
    <row r="32" spans="1:79" ht="15.75" customHeight="1" x14ac:dyDescent="0.25">
      <c r="A32" s="153" t="s">
        <v>61</v>
      </c>
    </row>
    <row r="33" spans="1:1" ht="15.75" customHeight="1" x14ac:dyDescent="0.25">
      <c r="A33" s="153" t="s">
        <v>62</v>
      </c>
    </row>
    <row r="34" spans="1:1" ht="15.75" customHeight="1" x14ac:dyDescent="0.25">
      <c r="A34" s="153" t="s">
        <v>66</v>
      </c>
    </row>
    <row r="35" spans="1:1" ht="15.75" customHeight="1" x14ac:dyDescent="0.25">
      <c r="A35" s="153" t="s">
        <v>67</v>
      </c>
    </row>
    <row r="36" spans="1:1" ht="15.75" customHeight="1" x14ac:dyDescent="0.25">
      <c r="A36" s="153" t="s">
        <v>68</v>
      </c>
    </row>
    <row r="37" spans="1:1" ht="15.75" customHeight="1" x14ac:dyDescent="0.25">
      <c r="A37" s="153" t="s">
        <v>187</v>
      </c>
    </row>
    <row r="38" spans="1:1" ht="15.75" customHeight="1" x14ac:dyDescent="0.25">
      <c r="A38" s="153" t="s">
        <v>73</v>
      </c>
    </row>
    <row r="39" spans="1:1" ht="15.75" customHeight="1" x14ac:dyDescent="0.25">
      <c r="A39" s="153" t="s">
        <v>71</v>
      </c>
    </row>
    <row r="40" spans="1:1" ht="15.75" customHeight="1" x14ac:dyDescent="0.25">
      <c r="A40" s="153" t="s">
        <v>72</v>
      </c>
    </row>
    <row r="41" spans="1:1" ht="15.75" customHeight="1" x14ac:dyDescent="0.25">
      <c r="A41" s="153" t="s">
        <v>191</v>
      </c>
    </row>
    <row r="42" spans="1:1" ht="15.75" customHeight="1" x14ac:dyDescent="0.25">
      <c r="A42" s="153" t="s">
        <v>77</v>
      </c>
    </row>
    <row r="43" spans="1:1" ht="15.75" customHeight="1" x14ac:dyDescent="0.25">
      <c r="A43" s="153" t="s">
        <v>78</v>
      </c>
    </row>
    <row r="44" spans="1:1" ht="15.75" customHeight="1" x14ac:dyDescent="0.25">
      <c r="A44" s="153" t="s">
        <v>76</v>
      </c>
    </row>
    <row r="45" spans="1:1" ht="15.75" customHeight="1" x14ac:dyDescent="0.25">
      <c r="A45" s="153" t="s">
        <v>196</v>
      </c>
    </row>
    <row r="46" spans="1:1" ht="15.75" customHeight="1" x14ac:dyDescent="0.25">
      <c r="A46" s="153" t="s">
        <v>81</v>
      </c>
    </row>
    <row r="47" spans="1:1" ht="15.75" customHeight="1" x14ac:dyDescent="0.25">
      <c r="A47" s="153" t="s">
        <v>82</v>
      </c>
    </row>
    <row r="48" spans="1:1" ht="15.75" customHeight="1" x14ac:dyDescent="0.25">
      <c r="A48" s="153" t="s">
        <v>200</v>
      </c>
    </row>
    <row r="49" spans="1:1" ht="15.75" customHeight="1" x14ac:dyDescent="0.25">
      <c r="A49" s="153" t="s">
        <v>83</v>
      </c>
    </row>
    <row r="50" spans="1:1" ht="15.75" customHeight="1" x14ac:dyDescent="0.25"/>
    <row r="51" spans="1:1" ht="15.75" customHeight="1" x14ac:dyDescent="0.25"/>
    <row r="52" spans="1:1" ht="15.75" customHeight="1" x14ac:dyDescent="0.25"/>
    <row r="53" spans="1:1" ht="15.75" customHeight="1" x14ac:dyDescent="0.25"/>
    <row r="54" spans="1:1" ht="15.75" customHeight="1" x14ac:dyDescent="0.25"/>
    <row r="55" spans="1:1" ht="15.75" customHeight="1" x14ac:dyDescent="0.25"/>
    <row r="56" spans="1:1" ht="15.75" customHeight="1" x14ac:dyDescent="0.25"/>
    <row r="57" spans="1:1" ht="15.75" customHeight="1" x14ac:dyDescent="0.25"/>
    <row r="58" spans="1:1" ht="15.75" customHeight="1" x14ac:dyDescent="0.25"/>
    <row r="59" spans="1:1" ht="15.75" customHeight="1" x14ac:dyDescent="0.25"/>
    <row r="60" spans="1:1" ht="15.75" customHeight="1" x14ac:dyDescent="0.25"/>
    <row r="61" spans="1:1" ht="15.75" customHeight="1" x14ac:dyDescent="0.25"/>
    <row r="62" spans="1:1" ht="15.75" customHeight="1" x14ac:dyDescent="0.25"/>
    <row r="63" spans="1:1" ht="15.75" customHeight="1" x14ac:dyDescent="0.25"/>
    <row r="64" spans="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T1:BV1"/>
    <mergeCell ref="BX1:CA1"/>
    <mergeCell ref="BX21:CA2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000"/>
  <sheetViews>
    <sheetView tabSelected="1" topLeftCell="A10" workbookViewId="0">
      <selection activeCell="B8" sqref="B8:D19"/>
    </sheetView>
  </sheetViews>
  <sheetFormatPr defaultColWidth="14.42578125" defaultRowHeight="15" customHeight="1" x14ac:dyDescent="0.25"/>
  <cols>
    <col min="1" max="1" width="22" customWidth="1"/>
    <col min="2" max="35" width="15" customWidth="1"/>
  </cols>
  <sheetData>
    <row r="1" spans="1:35" x14ac:dyDescent="0.25">
      <c r="A1" s="188" t="s">
        <v>894</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5"/>
    </row>
    <row r="2" spans="1:35" x14ac:dyDescent="0.25">
      <c r="A2" s="45" t="s">
        <v>895</v>
      </c>
      <c r="B2" s="45" t="s">
        <v>896</v>
      </c>
      <c r="C2" s="45" t="s">
        <v>897</v>
      </c>
      <c r="D2" s="45" t="s">
        <v>898</v>
      </c>
      <c r="E2" s="45" t="s">
        <v>899</v>
      </c>
      <c r="F2" s="45" t="s">
        <v>900</v>
      </c>
      <c r="G2" s="45" t="s">
        <v>901</v>
      </c>
      <c r="H2" s="45" t="s">
        <v>902</v>
      </c>
      <c r="I2" s="45" t="s">
        <v>903</v>
      </c>
      <c r="J2" s="45" t="s">
        <v>904</v>
      </c>
      <c r="K2" s="45" t="s">
        <v>905</v>
      </c>
      <c r="L2" s="45" t="s">
        <v>906</v>
      </c>
      <c r="M2" s="45" t="s">
        <v>907</v>
      </c>
      <c r="N2" s="45" t="s">
        <v>908</v>
      </c>
      <c r="O2" s="45" t="s">
        <v>909</v>
      </c>
      <c r="P2" s="45" t="s">
        <v>910</v>
      </c>
      <c r="Q2" s="45" t="s">
        <v>911</v>
      </c>
      <c r="R2" s="45" t="s">
        <v>912</v>
      </c>
      <c r="S2" s="45" t="s">
        <v>913</v>
      </c>
      <c r="T2" s="45" t="s">
        <v>914</v>
      </c>
      <c r="U2" s="45" t="s">
        <v>915</v>
      </c>
      <c r="V2" s="45" t="s">
        <v>916</v>
      </c>
      <c r="W2" s="45" t="s">
        <v>917</v>
      </c>
      <c r="X2" s="45" t="s">
        <v>918</v>
      </c>
      <c r="Y2" s="45" t="s">
        <v>919</v>
      </c>
      <c r="Z2" s="45" t="s">
        <v>920</v>
      </c>
      <c r="AA2" s="45" t="s">
        <v>921</v>
      </c>
      <c r="AB2" s="45" t="s">
        <v>922</v>
      </c>
      <c r="AC2" s="45" t="s">
        <v>923</v>
      </c>
      <c r="AD2" s="45" t="s">
        <v>924</v>
      </c>
      <c r="AE2" s="45" t="s">
        <v>925</v>
      </c>
      <c r="AF2" s="45" t="s">
        <v>106</v>
      </c>
      <c r="AG2" s="45" t="s">
        <v>932</v>
      </c>
      <c r="AH2" s="45" t="s">
        <v>926</v>
      </c>
      <c r="AI2" s="45" t="s">
        <v>927</v>
      </c>
    </row>
    <row r="3" spans="1:35" x14ac:dyDescent="0.25">
      <c r="A3" s="160" t="str">
        <f>Instruktion!B10</f>
        <v>Emelie</v>
      </c>
      <c r="B3" s="160" t="str">
        <f>'3. Slutspelsträd'!G9</f>
        <v>Tyskland</v>
      </c>
      <c r="C3" s="160" t="str">
        <f>'3. Slutspelsträd'!G11</f>
        <v>Frankrike</v>
      </c>
      <c r="D3" s="160" t="str">
        <f>'3. Slutspelsträd'!G21</f>
        <v>Mexiko</v>
      </c>
      <c r="E3" s="160" t="str">
        <f>'3. Slutspelsträd'!G23</f>
        <v>Nederländerna</v>
      </c>
      <c r="F3" s="160" t="str">
        <f>'3. Slutspelsträd'!G35</f>
        <v>England</v>
      </c>
      <c r="G3" s="160" t="str">
        <f>'3. Slutspelsträd'!G37</f>
        <v>Spanien</v>
      </c>
      <c r="H3" s="160" t="str">
        <f>'3. Slutspelsträd'!G47</f>
        <v>Turkiet</v>
      </c>
      <c r="I3" s="160" t="str">
        <f>'3. Slutspelsträd'!G49</f>
        <v>Belgien</v>
      </c>
      <c r="J3" s="160" t="str">
        <f>'3. Slutspelsträd'!AA9</f>
        <v>Brasilien</v>
      </c>
      <c r="K3" s="160" t="str">
        <f>'3. Slutspelsträd'!AA11</f>
        <v>Norge</v>
      </c>
      <c r="L3" s="160" t="str">
        <f>'3. Slutspelsträd'!AA21</f>
        <v>Skottland</v>
      </c>
      <c r="M3" s="160" t="str">
        <f>'3. Slutspelsträd'!AA23</f>
        <v>Kroatien</v>
      </c>
      <c r="N3" s="160" t="str">
        <f>'3. Slutspelsträd'!AA35</f>
        <v>Argentina</v>
      </c>
      <c r="O3" s="160" t="str">
        <f>'3. Slutspelsträd'!AA37</f>
        <v>USA</v>
      </c>
      <c r="P3" s="160" t="str">
        <f>'3. Slutspelsträd'!AA47</f>
        <v>Schweiz</v>
      </c>
      <c r="Q3" s="160" t="str">
        <f>'3. Slutspelsträd'!AA49</f>
        <v>Portugal</v>
      </c>
      <c r="R3" s="160" t="str">
        <f>'3. Slutspelsträd'!J15</f>
        <v>Frankrike</v>
      </c>
      <c r="S3" s="160" t="str">
        <f>'3. Slutspelsträd'!J17</f>
        <v>Nederländerna</v>
      </c>
      <c r="T3" s="160" t="str">
        <f>'3. Slutspelsträd'!J41</f>
        <v>England</v>
      </c>
      <c r="U3" s="160" t="str">
        <f>'3. Slutspelsträd'!J43</f>
        <v>Belgien</v>
      </c>
      <c r="V3" s="160" t="str">
        <f>'3. Slutspelsträd'!X15</f>
        <v>Brasilien</v>
      </c>
      <c r="W3" s="160" t="str">
        <f>'3. Slutspelsträd'!X17</f>
        <v>Kroatien</v>
      </c>
      <c r="X3" s="160" t="str">
        <f>'3. Slutspelsträd'!X41</f>
        <v>Argentina</v>
      </c>
      <c r="Y3" s="160" t="str">
        <f>'3. Slutspelsträd'!X43</f>
        <v>Schweiz</v>
      </c>
      <c r="Z3" s="160" t="str">
        <f>'3. Slutspelsträd'!M30</f>
        <v>England</v>
      </c>
      <c r="AA3" s="160" t="str">
        <f>'3. Slutspelsträd'!M28</f>
        <v>Frankrike</v>
      </c>
      <c r="AB3" s="160" t="str">
        <f>'3. Slutspelsträd'!U30</f>
        <v>Argentina</v>
      </c>
      <c r="AC3" s="160" t="str">
        <f>'3. Slutspelsträd'!U28</f>
        <v>Brasilien</v>
      </c>
      <c r="AD3" s="160" t="str">
        <f>'3. Slutspelsträd'!P21</f>
        <v>Frankrike</v>
      </c>
      <c r="AE3" s="160" t="str">
        <f>'3. Slutspelsträd'!R21</f>
        <v>Brasilien</v>
      </c>
      <c r="AF3" s="160" t="str">
        <f>'3. Slutspelsträd'!Q19</f>
        <v>Frankrike</v>
      </c>
      <c r="AG3" s="160" t="str">
        <f>'3. Slutspelsträd'!Q39</f>
        <v>England</v>
      </c>
      <c r="AH3" s="160" t="str">
        <f>'4. Skyttekung och utslagsfråga'!C4</f>
        <v>Kylian Mbappe</v>
      </c>
      <c r="AI3" s="160">
        <f>'4. Skyttekung och utslagsfråga'!C6</f>
        <v>323</v>
      </c>
    </row>
    <row r="6" spans="1:35" x14ac:dyDescent="0.25">
      <c r="A6" s="170" t="s">
        <v>928</v>
      </c>
      <c r="B6" s="164"/>
      <c r="C6" s="164"/>
      <c r="D6" s="165"/>
    </row>
    <row r="7" spans="1:35" x14ac:dyDescent="0.25">
      <c r="A7" s="45" t="s">
        <v>18</v>
      </c>
      <c r="B7" s="45" t="s">
        <v>87</v>
      </c>
      <c r="C7" s="45" t="s">
        <v>88</v>
      </c>
      <c r="D7" s="45" t="s">
        <v>89</v>
      </c>
    </row>
    <row r="8" spans="1:35" x14ac:dyDescent="0.25">
      <c r="A8" s="160" t="s">
        <v>25</v>
      </c>
      <c r="B8" s="160" t="str">
        <f>'1. Gruppspel'!B62</f>
        <v>Sydkorea</v>
      </c>
      <c r="C8" s="160" t="str">
        <f>'1. Gruppspel'!C62</f>
        <v>Mexiko</v>
      </c>
      <c r="D8" s="160" t="str">
        <f>'1. Gruppspel'!D62</f>
        <v>Tjeckien</v>
      </c>
    </row>
    <row r="9" spans="1:35" x14ac:dyDescent="0.25">
      <c r="A9" s="160" t="s">
        <v>30</v>
      </c>
      <c r="B9" s="160" t="str">
        <f>'1. Gruppspel'!B63</f>
        <v>Schweiz</v>
      </c>
      <c r="C9" s="160" t="str">
        <f>'1. Gruppspel'!C63</f>
        <v>Bosnien och Hercegovina</v>
      </c>
      <c r="D9" s="160" t="str">
        <f>'1. Gruppspel'!D63</f>
        <v>Kanada</v>
      </c>
    </row>
    <row r="10" spans="1:35" x14ac:dyDescent="0.25">
      <c r="A10" s="160" t="s">
        <v>35</v>
      </c>
      <c r="B10" s="160" t="str">
        <f>'1. Gruppspel'!B64</f>
        <v>Brasilien</v>
      </c>
      <c r="C10" s="160" t="str">
        <f>'1. Gruppspel'!C64</f>
        <v>Marocko</v>
      </c>
      <c r="D10" s="160" t="str">
        <f>'1. Gruppspel'!D64</f>
        <v>Skottland</v>
      </c>
    </row>
    <row r="11" spans="1:35" x14ac:dyDescent="0.25">
      <c r="A11" s="160" t="s">
        <v>40</v>
      </c>
      <c r="B11" s="160" t="str">
        <f>'1. Gruppspel'!B65</f>
        <v>Turkiet</v>
      </c>
      <c r="C11" s="160" t="str">
        <f>'1. Gruppspel'!C65</f>
        <v>USA</v>
      </c>
      <c r="D11" s="160" t="str">
        <f>'1. Gruppspel'!D65</f>
        <v>Paraguay</v>
      </c>
    </row>
    <row r="12" spans="1:35" x14ac:dyDescent="0.25">
      <c r="A12" s="160" t="s">
        <v>45</v>
      </c>
      <c r="B12" s="160" t="str">
        <f>'1. Gruppspel'!B66</f>
        <v>Tyskland</v>
      </c>
      <c r="C12" s="160" t="str">
        <f>'1. Gruppspel'!C66</f>
        <v>Ecuador</v>
      </c>
      <c r="D12" s="160" t="str">
        <f>'1. Gruppspel'!D66</f>
        <v>Elfenbenskusten</v>
      </c>
    </row>
    <row r="13" spans="1:35" x14ac:dyDescent="0.25">
      <c r="A13" s="160" t="s">
        <v>50</v>
      </c>
      <c r="B13" s="160" t="str">
        <f>'1. Gruppspel'!B67</f>
        <v>Nederländerna</v>
      </c>
      <c r="C13" s="160" t="str">
        <f>'1. Gruppspel'!C67</f>
        <v>Japan</v>
      </c>
      <c r="D13" s="160" t="str">
        <f>'1. Gruppspel'!D67</f>
        <v>Sverige</v>
      </c>
    </row>
    <row r="14" spans="1:35" x14ac:dyDescent="0.25">
      <c r="A14" s="160" t="s">
        <v>55</v>
      </c>
      <c r="B14" s="160" t="str">
        <f>'1. Gruppspel'!B68</f>
        <v>Belgien</v>
      </c>
      <c r="C14" s="160" t="str">
        <f>'1. Gruppspel'!C68</f>
        <v>Egypten</v>
      </c>
      <c r="D14" s="160" t="str">
        <f>'1. Gruppspel'!D68</f>
        <v>Iran</v>
      </c>
    </row>
    <row r="15" spans="1:35" x14ac:dyDescent="0.25">
      <c r="A15" s="160" t="s">
        <v>60</v>
      </c>
      <c r="B15" s="160" t="str">
        <f>'1. Gruppspel'!B69</f>
        <v>Spanien</v>
      </c>
      <c r="C15" s="160" t="str">
        <f>'1. Gruppspel'!C69</f>
        <v>Uruguay</v>
      </c>
      <c r="D15" s="160" t="str">
        <f>'1. Gruppspel'!D69</f>
        <v>Saudiarabien</v>
      </c>
    </row>
    <row r="16" spans="1:35" x14ac:dyDescent="0.25">
      <c r="A16" s="160" t="s">
        <v>65</v>
      </c>
      <c r="B16" s="160" t="str">
        <f>'1. Gruppspel'!B70</f>
        <v>Frankrike</v>
      </c>
      <c r="C16" s="160" t="str">
        <f>'1. Gruppspel'!C70</f>
        <v>Norge</v>
      </c>
      <c r="D16" s="160" t="str">
        <f>'1. Gruppspel'!D70</f>
        <v>Senegal</v>
      </c>
    </row>
    <row r="17" spans="1:4" x14ac:dyDescent="0.25">
      <c r="A17" s="160" t="s">
        <v>70</v>
      </c>
      <c r="B17" s="160" t="str">
        <f>'1. Gruppspel'!B71</f>
        <v>Argentina</v>
      </c>
      <c r="C17" s="160" t="str">
        <f>'1. Gruppspel'!C71</f>
        <v>Österrike</v>
      </c>
      <c r="D17" s="160" t="str">
        <f>'1. Gruppspel'!D71</f>
        <v>Algeriet</v>
      </c>
    </row>
    <row r="18" spans="1:4" x14ac:dyDescent="0.25">
      <c r="A18" s="160" t="s">
        <v>75</v>
      </c>
      <c r="B18" s="160" t="str">
        <f>'1. Gruppspel'!B72</f>
        <v>Portugal</v>
      </c>
      <c r="C18" s="160" t="str">
        <f>'1. Gruppspel'!C72</f>
        <v>Colombia</v>
      </c>
      <c r="D18" s="160" t="str">
        <f>'1. Gruppspel'!D72</f>
        <v>DR Kongo</v>
      </c>
    </row>
    <row r="19" spans="1:4" x14ac:dyDescent="0.25">
      <c r="A19" s="160" t="s">
        <v>80</v>
      </c>
      <c r="B19" s="160" t="str">
        <f>'1. Gruppspel'!B73</f>
        <v>Kroatien</v>
      </c>
      <c r="C19" s="160" t="str">
        <f>'1. Gruppspel'!C73</f>
        <v>England</v>
      </c>
      <c r="D19" s="160" t="str">
        <f>'1. Gruppspel'!D73</f>
        <v>Panama</v>
      </c>
    </row>
    <row r="21" spans="1:4" ht="60" customHeight="1" x14ac:dyDescent="0.25">
      <c r="A21" s="161" t="s">
        <v>929</v>
      </c>
      <c r="B21" s="162" t="s">
        <v>930</v>
      </c>
    </row>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AI1"/>
    <mergeCell ref="A6:D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Engström</dc:creator>
  <cp:lastModifiedBy>Anders Engström</cp:lastModifiedBy>
  <dcterms:created xsi:type="dcterms:W3CDTF">2026-06-08T20:57:59Z</dcterms:created>
  <dcterms:modified xsi:type="dcterms:W3CDTF">2026-06-08T21:02:44Z</dcterms:modified>
</cp:coreProperties>
</file>