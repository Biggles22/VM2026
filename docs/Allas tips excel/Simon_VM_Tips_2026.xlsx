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556DD3EB-0846-45B1-829E-D0A66ADB8A9C}" xr6:coauthVersionLast="47" xr6:coauthVersionMax="47" xr10:uidLastSave="{00000000-0000-0000-0000-000000000000}"/>
  <bookViews>
    <workbookView xWindow="-26025" yWindow="555"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<sst xmlns="http://schemas.openxmlformats.org/spreadsheetml/2006/main" count="6076" uniqueCount="933">
  <si>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</si>
  <si>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</si>
  <si>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</si>
  <si>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</si>
  <si>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</si>
  <si>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</si>
  <si>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</si>
  <si>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</si>
  <si>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</si>
  <si>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</si>
  <si>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</si>
  <si>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</si>
  <si>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</si>
  <si>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</si>
  <si>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</si>
  <si>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</si>
  <si>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</si>
  <si>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</si>
  <si>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</si>
  <si>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</si>
  <si>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</si>
  <si>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</si>
  <si>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</si>
  <si>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</si>
  <si>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</si>
  <si>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</si>
  <si>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</si>
  <si>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</si>
  <si>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</si>
  <si>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</si>
  <si>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</si>
  <si>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</si>
  <si>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</si>
  <si>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</si>
  <si>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</si>
  <si>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</si>
  <si>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</si>
  <si>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</si>
  <si>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</si>
  <si>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</si>
  <si>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</si>
  <si>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</si>
  <si>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</si>
  <si>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</si>
  <si>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</si>
  <si>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</si>
  <si>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</si>
  <si>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</si>
  <si>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</si>
  <si>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</si>
  <si>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</si>
  <si>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</si>
  <si>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</si>
  <si>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</si>
  <si>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</si>
  <si>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</si>
  <si>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</si>
  <si>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</si>
  <si>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</si>
  <si>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</si>
  <si>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</si>
  <si>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</si>
  <si>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</si>
  <si>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</si>
  <si>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</si>
  <si>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</si>
  <si>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</si>
  <si>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</si>
  <si>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</si>
  <si>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</si>
  <si>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</si>
  <si>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</si>
  <si>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</si>
  <si>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</si>
  <si>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</si>
  <si>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</si>
  <si>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</si>
  <si>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</si>
  <si>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</si>
  <si>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</si>
  <si>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</si>
  <si>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</si>
  <si>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</si>
  <si>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</si>
  <si>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</si>
  <si>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</si>
  <si>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</si>
  <si>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</si>
  <si>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</si>
  <si>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</si>
  <si>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</si>
  <si>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</si>
  <si>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</si>
  <si>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</si>
  <si>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</si>
  <si>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</si>
  <si>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</si>
  <si>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</si>
  <si>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</si>
  <si>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</si>
  <si>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</si>
  <si>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</si>
  <si>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</si>
  <si>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</si>
  <si>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</si>
  <si>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</si>
  <si>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</si>
  <si>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</si>
  <si>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</si>
  <si>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</si>
  <si>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</si>
  <si>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</si>
  <si>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</si>
  <si>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</si>
  <si>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</si>
  <si>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</si>
  <si>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</si>
  <si>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</si>
  <si>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</si>
  <si>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</si>
  <si>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</si>
  <si>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</si>
  <si>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</si>
  <si>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</si>
  <si>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</si>
  <si>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</si>
  <si>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</si>
  <si>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</si>
  <si>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</si>
  <si>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</si>
  <si>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</si>
  <si>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</si>
  <si>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</si>
  <si>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</si>
  <si>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</si>
  <si>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</si>
  <si>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</si>
  <si>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</si>
  <si>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</si>
  <si>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</si>
  <si>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</si>
  <si>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</si>
  <si>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</si>
  <si>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</si>
  <si>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</si>
  <si>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</si>
  <si>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</si>
  <si>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</si>
  <si>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</si>
  <si>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</si>
  <si>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</si>
  <si>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</si>
  <si>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</si>
  <si>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</si>
  <si>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</si>
  <si>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</si>
  <si>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</si>
  <si>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</si>
  <si>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</si>
  <si>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</si>
  <si>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</si>
  <si>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</si>
  <si>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</si>
  <si>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</si>
  <si>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</si>
  <si>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</si>
  <si>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</si>
  <si>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</si>
  <si>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</si>
  <si>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</si>
  <si>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</si>
  <si>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</si>
  <si>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</si>
  <si>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</si>
  <si>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</si>
  <si>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</si>
  <si>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</si>
  <si>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</si>
  <si>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</si>
  <si>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</si>
  <si>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</si>
  <si>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</si>
  <si>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</si>
  <si>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</si>
  <si>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</si>
  <si>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</si>
  <si>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</si>
  <si>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</si>
  <si>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</si>
  <si>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</si>
  <si>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</si>
  <si>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</si>
  <si>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</si>
  <si>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</si>
  <si>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</si>
  <si>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</si>
  <si>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</si>
  <si>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</si>
  <si>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</si>
  <si>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</si>
  <si>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</si>
  <si>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</si>
  <si>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</si>
  <si>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</si>
  <si>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</si>
  <si>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</si>
  <si>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</si>
  <si>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</si>
  <si>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</si>
  <si>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</si>
  <si>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</si>
  <si>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</si>
  <si>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</si>
  <si>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</si>
  <si>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</si>
  <si>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</si>
  <si>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</si>
  <si>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</si>
  <si>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</si>
  <si>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</si>
  <si>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</si>
  <si>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</si>
  <si>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</si>
  <si>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</si>
  <si>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</si>
  <si>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</si>
  <si>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</si>
  <si>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</si>
  <si>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</si>
  <si>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</si>
  <si>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</si>
  <si>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</si>
  <si>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</si>
  <si>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</si>
  <si>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</si>
  <si>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</si>
  <si>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</si>
  <si>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</si>
  <si>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</si>
  <si>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</si>
  <si>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</si>
  <si>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</si>
  <si>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</si>
  <si>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</si>
  <si>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</si>
  <si>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</si>
  <si>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</si>
  <si>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</si>
  <si>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</si>
  <si>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</si>
  <si>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</si>
  <si>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</si>
  <si>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</si>
  <si>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</si>
  <si>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</si>
  <si>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</si>
  <si>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</si>
  <si>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</si>
  <si>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</si>
  <si>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</si>
  <si>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</si>
  <si>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</si>
  <si>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</si>
  <si>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</si>
  <si>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</si>
  <si>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</si>
  <si>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</si>
  <si>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</si>
  <si>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</si>
  <si>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</si>
  <si>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</si>
  <si>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</si>
  <si>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</si>
  <si>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</si>
  <si>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</si>
  <si>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</si>
  <si>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</si>
  <si>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</si>
  <si>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</si>
  <si>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</si>
  <si>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</si>
  <si>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</si>
  <si>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</si>
  <si>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</si>
  <si>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</si>
  <si>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</si>
  <si>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</si>
  <si>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</si>
  <si>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</si>
  <si>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</si>
  <si>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</si>
  <si>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</si>
  <si>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</si>
  <si>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</si>
  <si>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</si>
  <si>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</si>
  <si>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</si>
  <si>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</si>
  <si>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</si>
  <si>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</si>
  <si>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</si>
  <si>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</si>
  <si>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</si>
  <si>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</si>
  <si>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</si>
  <si>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</si>
  <si>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</si>
  <si>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</si>
  <si>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</si>
  <si>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</si>
  <si>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</si>
  <si>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</si>
  <si>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</si>
  <si>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</si>
  <si>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</si>
  <si>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</si>
  <si>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</si>
  <si>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</si>
  <si>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</si>
  <si>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</si>
  <si>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</si>
  <si>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</si>
  <si>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</si>
  <si>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</si>
  <si>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</si>
  <si>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</si>
  <si>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</si>
  <si>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</si>
  <si>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</si>
  <si>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</si>
  <si>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</si>
  <si>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</si>
  <si>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</si>
  <si>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</si>
  <si>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</si>
  <si>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</si>
  <si>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</si>
  <si>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</si>
  <si>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</si>
  <si>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</si>
  <si>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</si>
  <si>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</si>
  <si>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</si>
  <si>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</si>
  <si>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</si>
  <si>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</si>
  <si>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</si>
  <si>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</si>
  <si>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</si>
  <si>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</si>
  <si>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</si>
  <si>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</si>
  <si>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</si>
  <si>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</si>
  <si>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</si>
  <si>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</si>
  <si>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</si>
  <si>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</si>
  <si>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</si>
  <si>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</si>
  <si>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</si>
  <si>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</si>
  <si>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</si>
  <si>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</si>
  <si>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</si>
  <si>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</si>
  <si>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</si>
  <si>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</si>
  <si>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</si>
  <si>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</si>
  <si>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</si>
  <si>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</si>
  <si>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</si>
  <si>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</si>
  <si>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</si>
  <si>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</si>
  <si>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</si>
  <si>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</si>
  <si>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</si>
  <si>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</si>
  <si>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</si>
  <si>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</si>
  <si>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</si>
  <si>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</si>
  <si>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</si>
  <si>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</si>
  <si>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</si>
  <si>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</si>
  <si>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</si>
  <si>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</si>
  <si>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</si>
  <si>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</si>
  <si>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</si>
  <si>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</si>
  <si>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</si>
  <si>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</si>
  <si>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</si>
  <si>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</si>
  <si>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</si>
  <si>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</si>
  <si>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</si>
  <si>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</si>
  <si>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</si>
  <si>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</si>
  <si>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</si>
  <si>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</si>
  <si>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</si>
  <si>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</si>
  <si>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</si>
  <si>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</si>
  <si>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</si>
  <si>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</si>
  <si>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</si>
  <si>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</si>
  <si>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</si>
  <si>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</si>
  <si>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</si>
  <si>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</si>
  <si>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</si>
  <si>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</si>
  <si>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</si>
  <si>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</si>
  <si>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</si>
  <si>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</si>
  <si>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</si>
  <si>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</si>
  <si>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</si>
  <si>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</si>
  <si>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</si>
  <si>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</si>
  <si>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</si>
  <si>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</si>
  <si>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</si>
  <si>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</si>
  <si>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</si>
  <si>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</si>
  <si>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</si>
  <si>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</si>
  <si>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</si>
  <si>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</si>
  <si>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</si>
  <si>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</si>
  <si>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</si>
  <si>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</si>
  <si>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</si>
  <si>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</si>
  <si>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</si>
  <si>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</si>
  <si>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</si>
  <si>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</si>
  <si>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</si>
  <si>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</si>
  <si>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</si>
  <si>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</si>
  <si>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</si>
  <si>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</si>
  <si>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</si>
  <si>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</si>
  <si>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</si>
  <si>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</si>
  <si>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</si>
  <si>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</si>
  <si>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</si>
  <si>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</si>
  <si>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</si>
  <si>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</si>
  <si>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</si>
  <si>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</si>
  <si>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</si>
  <si>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</si>
  <si>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</si>
  <si>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</si>
  <si>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</si>
  <si>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</si>
  <si>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</si>
  <si>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</si>
  <si>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</si>
  <si>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</si>
  <si>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</si>
  <si>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</si>
  <si>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</si>
  <si>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</si>
  <si>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</si>
  <si>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</si>
  <si>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</si>
  <si>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</si>
  <si>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</si>
  <si>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</si>
  <si>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</si>
  <si>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</si>
  <si>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</si>
  <si>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</si>
  <si>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</si>
  <si>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</si>
  <si>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</si>
  <si>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</si>
  <si>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</si>
  <si>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</si>
  <si>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</si>
  <si>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</si>
  <si>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</si>
  <si>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</si>
  <si>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</si>
  <si>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</si>
  <si>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</si>
  <si>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</si>
  <si>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</si>
  <si>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</si>
  <si>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</si>
  <si>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</si>
  <si>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</si>
  <si>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</si>
  <si>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</si>
  <si>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</si>
  <si>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</si>
  <si>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</si>
  <si>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</si>
  <si>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</si>
  <si>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</si>
  <si>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</si>
  <si>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</si>
  <si>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</si>
  <si>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</si>
  <si>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</si>
  <si>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</si>
  <si>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</si>
  <si>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</si>
  <si>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</si>
  <si>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</si>
  <si>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</si>
  <si>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</si>
  <si>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</si>
  <si>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</si>
  <si>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</si>
  <si>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</si>
  <si>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</si>
  <si>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</si>
  <si>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</si>
  <si>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</si>
  <si>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</si>
  <si>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</si>
  <si>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</si>
  <si>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</si>
  <si>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</si>
  <si>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</si>
  <si>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</si>
  <si>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</si>
  <si>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</si>
  <si>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</si>
  <si>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</si>
  <si>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</si>
  <si>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</si>
  <si>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</si>
  <si>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</si>
  <si>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</si>
  <si>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</si>
  <si>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</si>
  <si>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</si>
  <si>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</si>
  <si>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</si>
  <si>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</si>
  <si>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</si>
  <si>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</si>
  <si>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</si>
  <si>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</si>
  <si>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</si>
  <si>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</si>
  <si>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</si>
  <si>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</si>
  <si>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</si>
  <si>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</si>
  <si>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</si>
  <si>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</si>
  <si>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</si>
  <si>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</si>
  <si>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</si>
  <si>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</si>
  <si>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</si>
  <si>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</si>
  <si>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</si>
  <si>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</si>
  <si>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</si>
  <si>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</si>
  <si>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</si>
  <si>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</si>
  <si>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</si>
  <si>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</si>
  <si>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</si>
  <si>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</si>
  <si>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</si>
  <si>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</si>
  <si>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</si>
  <si>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</si>
  <si>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</si>
  <si>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</si>
  <si>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</si>
  <si>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</si>
  <si>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</si>
  <si>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</si>
  <si>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</si>
  <si>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</si>
  <si>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</si>
  <si>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</si>
  <si>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</si>
  <si>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</si>
  <si>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</si>
  <si>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</si>
  <si>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</si>
  <si>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</si>
  <si>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</si>
  <si>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</si>
  <si>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</si>
  <si>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</si>
  <si>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</si>
  <si>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</si>
  <si>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</si>
  <si>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</si>
  <si>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</si>
  <si>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</si>
  <si>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</si>
  <si>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</si>
  <si>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</si>
  <si>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</si>
  <si>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</si>
  <si>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</si>
  <si>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</si>
  <si>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</si>
  <si>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</si>
  <si>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</si>
  <si>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</si>
  <si>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</si>
  <si>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</si>
  <si>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</si>
  <si>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</si>
  <si>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</si>
  <si>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</si>
  <si>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</si>
  <si>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</si>
  <si>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</si>
  <si>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</si>
  <si>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</si>
  <si>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</si>
  <si>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</si>
  <si>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</si>
  <si>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</si>
  <si>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</si>
  <si>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</si>
  <si>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</si>
  <si>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</si>
  <si>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</si>
  <si>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</si>
  <si>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</si>
  <si>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</si>
  <si>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</si>
  <si>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</si>
  <si>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</si>
  <si>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</si>
  <si>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</si>
  <si>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</si>
  <si>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</si>
  <si>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</si>
  <si>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</si>
  <si>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</si>
  <si>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</si>
  <si>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</si>
  <si>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</si>
  <si>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</si>
  <si>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</si>
  <si>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</si>
  <si>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</si>
  <si>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</si>
  <si>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</si>
  <si>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</si>
  <si>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</si>
  <si>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</si>
  <si>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</si>
  <si>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</si>
  <si>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</si>
  <si>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</si>
  <si>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</si>
  <si>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</si>
  <si>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</si>
  <si>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</si>
  <si>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</si>
  <si>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</si>
  <si>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</si>
  <si>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</si>
  <si>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</si>
  <si>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</si>
  <si>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</si>
  <si>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</si>
  <si>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</si>
  <si>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</si>
  <si>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</si>
  <si>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</si>
  <si>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</si>
  <si>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</si>
  <si>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</si>
  <si>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</si>
  <si>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</si>
  <si>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</si>
  <si>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</si>
  <si>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</si>
  <si>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</si>
  <si>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</si>
  <si>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</si>
  <si>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</si>
  <si>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</si>
  <si>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</si>
  <si>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</si>
  <si>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</si>
  <si>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</si>
  <si>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</si>
  <si>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</si>
  <si>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</si>
  <si>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</si>
  <si>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</si>
  <si>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</si>
  <si>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</si>
  <si>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</si>
  <si>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</si>
  <si>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</si>
  <si>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</si>
  <si>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</si>
  <si>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</si>
  <si>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</si>
  <si>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</si>
  <si>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</si>
  <si>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</si>
  <si>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</si>
  <si>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</si>
  <si>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</si>
  <si>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</si>
  <si>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</si>
  <si>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</si>
  <si>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</si>
  <si>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</si>
  <si>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</si>
  <si>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</si>
  <si>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</si>
  <si>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</si>
  <si>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</si>
  <si>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</si>
  <si>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</si>
  <si>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</si>
  <si>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</si>
  <si>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</si>
  <si>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</si>
  <si>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</si>
  <si>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</si>
  <si>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</si>
  <si>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</si>
  <si>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</si>
  <si>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</si>
  <si>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</si>
  <si>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</si>
  <si>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</si>
  <si>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</si>
  <si>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</si>
  <si>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</si>
  <si>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</si>
  <si>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</si>
  <si>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</si>
  <si>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</si>
  <si>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</si>
  <si>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</si>
  <si>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</si>
  <si>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</si>
  <si>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</si>
  <si>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</si>
  <si>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</si>
  <si>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</si>
  <si>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</si>
  <si>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</si>
  <si>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</si>
  <si>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</si>
  <si>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</si>
  <si>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</si>
  <si>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</si>
  <si>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</si>
  <si>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</si>
  <si>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</si>
  <si>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</si>
  <si>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</si>
  <si>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</si>
  <si>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</si>
  <si>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</si>
  <si>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</si>
  <si>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</si>
  <si>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</si>
  <si>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</si>
  <si>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</si>
  <si>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</si>
  <si>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</si>
  <si>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</si>
  <si>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</si>
  <si>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</si>
  <si>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</si>
  <si>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</si>
  <si>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</si>
  <si>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</si>
  <si>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</si>
  <si>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</si>
  <si>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</si>
  <si>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</si>
  <si>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</si>
  <si>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</si>
  <si>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</si>
  <si>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</si>
  <si>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</si>
  <si>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</si>
  <si>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</si>
  <si>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</si>
  <si>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</si>
  <si>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</si>
  <si>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</si>
  <si>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</si>
  <si>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</si>
  <si>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</si>
  <si>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</si>
  <si>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</si>
  <si>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</si>
  <si>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</si>
  <si>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</si>
  <si>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</si>
  <si>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</si>
  <si>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</si>
  <si>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</si>
  <si>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</si>
  <si>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</si>
  <si>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</si>
  <si>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</si>
  <si>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</si>
  <si>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</si>
  <si>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</si>
  <si>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</si>
  <si>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</si>
  <si>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</si>
  <si>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</si>
  <si>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</si>
  <si>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</si>
  <si>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</si>
  <si>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</si>
  <si>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</si>
  <si>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</si>
  <si>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</si>
  <si>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</si>
  <si>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</si>
  <si>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</si>
  <si>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</si>
  <si>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</si>
  <si>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</si>
  <si>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</si>
  <si>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</si>
  <si>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</si>
  <si>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</si>
  <si>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</si>
  <si>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</si>
  <si>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</si>
  <si>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</si>
  <si>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</si>
  <si>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</si>
  <si>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</si>
  <si>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</si>
  <si>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</si>
  <si>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</si>
  <si>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</si>
  <si>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</si>
  <si>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</si>
  <si>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</si>
  <si>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</si>
  <si>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</si>
  <si>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</si>
  <si>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</si>
  <si>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</si>
  <si>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</si>
  <si>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</si>
  <si>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</si>
  <si>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</si>
  <si>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</si>
  <si>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</si>
  <si>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</si>
  <si>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</si>
  <si>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</si>
  <si>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</si>
  <si>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</si>
  <si>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</si>
  <si>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</si>
  <si>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</si>
  <si>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</si>
  <si>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</si>
  <si>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</si>
  <si>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</si>
  <si>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</si>
  <si>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</si>
  <si>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</si>
  <si>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</si>
  <si>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</si>
  <si>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</si>
  <si>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</si>
  <si>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</si>
  <si>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</si>
  <si>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</si>
  <si>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</si>
  <si>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</si>
  <si>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</si>
  <si>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</si>
  <si>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</si>
  <si>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</si>
  <si>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</si>
  <si>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</si>
  <si>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</si>
  <si>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</si>
  <si>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</si>
  <si>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</si>
  <si>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</si>
  <si>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</si>
  <si>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</si>
  <si>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</si>
  <si>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</si>
  <si>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</si>
  <si>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</si>
  <si>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</si>
  <si>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</si>
  <si>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</si>
  <si>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</si>
  <si>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</si>
  <si>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</si>
  <si>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</si>
  <si>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</si>
  <si>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Simon Mark</t>
  </si>
  <si>
    <t>Lamine Yamal</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</si>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</sst>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3" workbookViewId="0">
      <selection activeCell="B11" sqref="B11"/>
    </sheetView>
  </sheetViews>
  <sheetFormatPr defaultRowHeight="15" x14ac:dyDescent="0.25"/>
  <cols>
    <col min="1" max="1" width="14.28515625" bestFit="1" customWidth="1"/>
    <col min="2" max="2" width="201.85546875" customWidth="1"/>
  </cols>
  <sheetData>
    <row r="1" spans="1:6" ht="27.75" customHeight="1" x14ac:dyDescent="0.25">
      <c r="A1" s="200" t="s">
        <v>919</v>
      </c>
      <c r="B1" s="20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9" sqref="D9"/>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199" t="s">
        <v>929</v>
      </c>
      <c r="B2" s="199"/>
      <c r="C2" s="199"/>
      <c r="D2" s="199"/>
      <c r="E2" s="199"/>
      <c r="F2" s="199"/>
      <c r="G2" s="199"/>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30</v>
      </c>
      <c r="C4" s="154" t="s">
        <v>22</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57</v>
      </c>
      <c r="D7" s="154" t="s">
        <v>61</v>
      </c>
      <c r="E7" s="155" t="str">
        <f>IF(COUNTBLANK(B7:D7)&gt;0,"",IF(COUNTIF(B7:D7,"USA")=0,"USA",IF(COUNTIF(B7:D7,"Australien")=0,"Australien",IF(COUNTIF(B7:D7,"Paraguay")=0,"Paraguay",IF(COUNTIF(B7:D7,"Turkiet")=0,"Turkiet","")))))</f>
        <v>Paraguay</v>
      </c>
      <c r="F7" s="156" t="str">
        <f t="shared" si="0"/>
        <v>OK</v>
      </c>
      <c r="G7" s="163" t="s">
        <v>303</v>
      </c>
      <c r="H7" s="84"/>
      <c r="I7" s="84"/>
      <c r="J7" s="84"/>
      <c r="K7" s="84"/>
    </row>
    <row r="8" spans="1:11" x14ac:dyDescent="0.25">
      <c r="A8" s="164" t="s">
        <v>34</v>
      </c>
      <c r="B8" s="154" t="s">
        <v>65</v>
      </c>
      <c r="C8" s="154" t="s">
        <v>67</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73</v>
      </c>
      <c r="C9" s="154" t="s">
        <v>71</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87</v>
      </c>
      <c r="E11" s="155" t="str">
        <f>IF(COUNTBLANK(B11:D11)&gt;0,"",IF(COUNTIF(B11:D11,"Kap Verde")=0,"Kap Verde",IF(COUNTIF(B11:D11,"Saudiarabien")=0,"Saudiarabien",IF(COUNTIF(B11:D11,"Spanien")=0,"Spanien",IF(COUNTIF(B11:D11,"Uruguay")=0,"Uruguay","")))))</f>
        <v>Saudiarabien</v>
      </c>
      <c r="F11" s="156" t="str">
        <f t="shared" si="0"/>
        <v>OK</v>
      </c>
      <c r="G11" s="157" t="s">
        <v>307</v>
      </c>
      <c r="H11" s="84"/>
      <c r="I11" s="84"/>
      <c r="J11" s="84"/>
      <c r="K11" s="84"/>
    </row>
    <row r="12" spans="1:11" x14ac:dyDescent="0.25">
      <c r="A12" s="171" t="s">
        <v>46</v>
      </c>
      <c r="B12" s="154" t="s">
        <v>97</v>
      </c>
      <c r="C12" s="154" t="s">
        <v>95</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102</v>
      </c>
      <c r="D13" s="154" t="s">
        <v>106</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118</v>
      </c>
      <c r="C15" s="154" t="s">
        <v>120</v>
      </c>
      <c r="D15" s="154" t="s">
        <v>124</v>
      </c>
      <c r="E15" s="155" t="str">
        <f>IF(COUNTBLANK(B15:D15)&gt;0,"",IF(COUNTIF(B15:D15,"Kroatien")=0,"Kroatien",IF(COUNTIF(B15:D15,"England")=0,"England",IF(COUNTIF(B15:D15,"Ghana")=0,"Ghana",IF(COUNTIF(B15:D15,"Panama")=0,"Panama","")))))</f>
        <v>Ghana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6" t="s">
        <v>922</v>
      </c>
      <c r="C59" s="197"/>
      <c r="D59" s="197"/>
      <c r="E59" s="198"/>
    </row>
    <row r="60" spans="1:7" s="111" customFormat="1" ht="14.25" hidden="1" customHeight="1" x14ac:dyDescent="0.25">
      <c r="A60" s="193" t="s">
        <v>312</v>
      </c>
      <c r="B60" s="194"/>
      <c r="C60" s="194"/>
      <c r="D60" s="195"/>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Sydkorea</v>
      </c>
      <c r="C62" s="92" t="str">
        <f t="shared" si="1"/>
        <v>Mexiko</v>
      </c>
      <c r="D62" s="92" t="str">
        <f t="shared" si="1"/>
        <v>Tjeckien</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Brasilien</v>
      </c>
      <c r="C64" s="96" t="str">
        <f t="shared" si="1"/>
        <v>Skottland</v>
      </c>
      <c r="D64" s="96" t="str">
        <f t="shared" si="1"/>
        <v>Marocko</v>
      </c>
    </row>
    <row r="65" spans="1:6" s="111" customFormat="1" ht="14.25" hidden="1" customHeight="1" x14ac:dyDescent="0.25">
      <c r="A65" s="99" t="s">
        <v>31</v>
      </c>
      <c r="B65" s="98" t="str">
        <f t="shared" si="1"/>
        <v>USA</v>
      </c>
      <c r="C65" s="98" t="str">
        <f t="shared" si="1"/>
        <v>Australien</v>
      </c>
      <c r="D65" s="98" t="str">
        <f t="shared" si="1"/>
        <v>Turkiet</v>
      </c>
    </row>
    <row r="66" spans="1:6" s="111" customFormat="1" ht="14.25" hidden="1" customHeight="1" x14ac:dyDescent="0.25">
      <c r="A66" s="101" t="s">
        <v>34</v>
      </c>
      <c r="B66" s="100" t="str">
        <f t="shared" si="1"/>
        <v>Ecuador</v>
      </c>
      <c r="C66" s="100" t="str">
        <f t="shared" si="1"/>
        <v>Tyskland</v>
      </c>
      <c r="D66" s="100" t="str">
        <f t="shared" si="1"/>
        <v>Elfenbenskusten</v>
      </c>
    </row>
    <row r="67" spans="1:6" s="111" customFormat="1" ht="14.25" hidden="1" customHeight="1" x14ac:dyDescent="0.25">
      <c r="A67" s="103" t="s">
        <v>37</v>
      </c>
      <c r="B67" s="102" t="str">
        <f t="shared" si="1"/>
        <v>Japan</v>
      </c>
      <c r="C67" s="102" t="str">
        <f t="shared" si="1"/>
        <v>Nederländerna</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Kap Verde</v>
      </c>
    </row>
    <row r="70" spans="1:6" s="111" customFormat="1" ht="14.25" hidden="1" customHeight="1" x14ac:dyDescent="0.25">
      <c r="A70" s="107" t="s">
        <v>46</v>
      </c>
      <c r="B70" s="94" t="str">
        <f t="shared" si="1"/>
        <v>Norge</v>
      </c>
      <c r="C70" s="94" t="str">
        <f t="shared" si="1"/>
        <v>Frankrike</v>
      </c>
      <c r="D70" s="94" t="str">
        <f t="shared" si="1"/>
        <v>Senegal</v>
      </c>
    </row>
    <row r="71" spans="1:6" s="111" customFormat="1" ht="14.25" hidden="1" customHeight="1" x14ac:dyDescent="0.25">
      <c r="A71" s="108" t="s">
        <v>49</v>
      </c>
      <c r="B71" s="96" t="str">
        <f t="shared" si="1"/>
        <v>Argentina</v>
      </c>
      <c r="C71" s="96" t="str">
        <f t="shared" si="1"/>
        <v>Algeriet</v>
      </c>
      <c r="D71" s="96" t="str">
        <f t="shared" si="1"/>
        <v>Österrike</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Kroatien</v>
      </c>
      <c r="C73" s="100" t="str">
        <f t="shared" si="1"/>
        <v>England</v>
      </c>
      <c r="D73" s="100" t="str">
        <f t="shared" si="1"/>
        <v>Panama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0" t="s">
        <v>918</v>
      </c>
      <c r="B1" s="191"/>
      <c r="C1" s="191"/>
      <c r="D1" s="191"/>
      <c r="E1" s="191"/>
      <c r="F1" s="192"/>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106</v>
      </c>
    </row>
    <row r="5" spans="1:6" ht="5.0999999999999996" customHeight="1" x14ac:dyDescent="0.25">
      <c r="A5" s="111"/>
      <c r="B5" s="116"/>
    </row>
    <row r="6" spans="1:6" ht="15.75" thickBot="1" x14ac:dyDescent="0.3">
      <c r="A6" s="116" t="s">
        <v>920</v>
      </c>
      <c r="B6" s="136" t="s">
        <v>50</v>
      </c>
    </row>
    <row r="7" spans="1:6" ht="5.0999999999999996" customHeight="1" x14ac:dyDescent="0.25">
      <c r="A7" s="111"/>
      <c r="B7" s="116"/>
    </row>
    <row r="8" spans="1:6" ht="15.75" thickBot="1" x14ac:dyDescent="0.3">
      <c r="A8" s="116" t="s">
        <v>920</v>
      </c>
      <c r="B8" s="136" t="s">
        <v>99</v>
      </c>
    </row>
    <row r="9" spans="1:6" ht="5.0999999999999996" customHeight="1" x14ac:dyDescent="0.25">
      <c r="A9" s="111"/>
      <c r="B9" s="116"/>
    </row>
    <row r="10" spans="1:6" ht="15.75" thickBot="1" x14ac:dyDescent="0.3">
      <c r="A10" s="116" t="s">
        <v>920</v>
      </c>
      <c r="B10" s="136" t="s">
        <v>32</v>
      </c>
    </row>
    <row r="11" spans="1:6" ht="5.0999999999999996" customHeight="1" x14ac:dyDescent="0.25">
      <c r="A11" s="111"/>
      <c r="B11" s="116"/>
    </row>
    <row r="12" spans="1:6" ht="15.75" thickBot="1" x14ac:dyDescent="0.3">
      <c r="A12" s="116" t="s">
        <v>920</v>
      </c>
      <c r="B12" s="136" t="s">
        <v>75</v>
      </c>
    </row>
    <row r="13" spans="1:6" ht="5.0999999999999996" customHeight="1" x14ac:dyDescent="0.25">
      <c r="A13" s="111"/>
      <c r="B13" s="117"/>
      <c r="C13" s="111"/>
      <c r="D13" s="111"/>
      <c r="E13" s="111"/>
    </row>
    <row r="14" spans="1:6" ht="30.75" thickBot="1" x14ac:dyDescent="0.3">
      <c r="A14" s="116" t="s">
        <v>920</v>
      </c>
      <c r="B14" s="136" t="s">
        <v>69</v>
      </c>
    </row>
    <row r="15" spans="1:6" ht="5.0999999999999996" customHeight="1" x14ac:dyDescent="0.25">
      <c r="B15" s="116"/>
    </row>
    <row r="16" spans="1:6" ht="15.75" thickBot="1" x14ac:dyDescent="0.3">
      <c r="A16" s="116" t="s">
        <v>920</v>
      </c>
      <c r="B16" s="136" t="s">
        <v>24</v>
      </c>
    </row>
    <row r="17" spans="1:12" ht="5.0999999999999996" customHeight="1" x14ac:dyDescent="0.25">
      <c r="B17" s="116"/>
    </row>
    <row r="18" spans="1:12" ht="15.75" thickBot="1" x14ac:dyDescent="0.3">
      <c r="A18" s="116" t="s">
        <v>920</v>
      </c>
      <c r="B18" s="136" t="s">
        <v>61</v>
      </c>
    </row>
    <row r="19" spans="1:12" ht="9" customHeight="1" x14ac:dyDescent="0.25"/>
    <row r="20" spans="1:12" ht="24" customHeight="1" x14ac:dyDescent="0.25">
      <c r="B20" s="196" t="s">
        <v>922</v>
      </c>
      <c r="C20" s="197"/>
      <c r="D20" s="198"/>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M18"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Ecuador</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Nederländerna</v>
      </c>
      <c r="AE8" s="203"/>
      <c r="AF8" s="128"/>
      <c r="AG8" s="119"/>
      <c r="AH8" s="114"/>
      <c r="AI8" s="114"/>
    </row>
    <row r="9" spans="2:35" ht="15.75" customHeight="1" thickBot="1" x14ac:dyDescent="0.3">
      <c r="B9" s="131"/>
      <c r="C9" s="123"/>
      <c r="D9" s="114"/>
      <c r="E9" s="114"/>
      <c r="F9" s="203" t="s">
        <v>265</v>
      </c>
      <c r="G9" s="115" t="s">
        <v>65</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97</v>
      </c>
      <c r="H11" s="114"/>
      <c r="I11" s="114"/>
      <c r="J11" s="114"/>
      <c r="K11" s="114"/>
      <c r="L11" s="114"/>
      <c r="M11" s="114"/>
      <c r="N11" s="114"/>
      <c r="O11" s="114"/>
      <c r="P11" s="114"/>
      <c r="Q11" s="114"/>
      <c r="R11" s="114"/>
      <c r="S11" s="114"/>
      <c r="T11" s="114"/>
      <c r="U11" s="114"/>
      <c r="V11" s="114"/>
      <c r="W11" s="114"/>
      <c r="X11" s="114"/>
      <c r="Y11" s="114"/>
      <c r="Z11" s="114"/>
      <c r="AA11" s="115" t="s">
        <v>95</v>
      </c>
      <c r="AB11" s="203"/>
      <c r="AD11" s="114"/>
      <c r="AE11" s="114"/>
      <c r="AF11" s="130"/>
      <c r="AG11" s="114"/>
      <c r="AH11" s="114"/>
      <c r="AI11" s="114"/>
    </row>
    <row r="12" spans="2:35" ht="15.75" customHeight="1" thickBot="1" x14ac:dyDescent="0.3">
      <c r="B12" s="127"/>
      <c r="C12" s="203" t="s">
        <v>252</v>
      </c>
      <c r="D12" s="115" t="str">
        <f>INDEX(_Listor!$BY$3:$BZ$18,MATCH("M77",_Listor!$BX$3:$BX$18,0),1)</f>
        <v>Norge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Tyskland</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Frankrike</v>
      </c>
      <c r="AE14" s="203"/>
      <c r="AF14" s="128"/>
      <c r="AG14" s="119"/>
      <c r="AH14" s="114"/>
      <c r="AI14" s="114"/>
    </row>
    <row r="15" spans="2:35" ht="15.75" customHeight="1" thickBot="1" x14ac:dyDescent="0.3">
      <c r="B15" s="129"/>
      <c r="C15" s="114"/>
      <c r="D15" s="114"/>
      <c r="E15" s="114"/>
      <c r="F15" s="114"/>
      <c r="G15" s="114"/>
      <c r="H15" s="114"/>
      <c r="I15" s="203" t="s">
        <v>273</v>
      </c>
      <c r="J15" s="115" t="s">
        <v>65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22</v>
      </c>
      <c r="K17" s="114"/>
      <c r="L17" s="114"/>
      <c r="M17" s="114"/>
      <c r="N17" s="114"/>
      <c r="O17" s="114"/>
      <c r="P17" s="114"/>
      <c r="R17" s="114"/>
      <c r="S17" s="114"/>
      <c r="T17" s="114"/>
      <c r="U17" s="114"/>
      <c r="V17" s="114"/>
      <c r="W17" s="114"/>
      <c r="X17" s="115" t="s">
        <v>30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44</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Marocko</v>
      </c>
      <c r="AE20" s="203"/>
      <c r="AF20" s="128"/>
      <c r="AG20" s="119"/>
      <c r="AH20" s="114"/>
      <c r="AI20" s="114"/>
    </row>
    <row r="21" spans="2:35" ht="15.75" customHeight="1" thickBot="1" x14ac:dyDescent="0.3">
      <c r="B21" s="127"/>
      <c r="E21" s="114"/>
      <c r="F21" s="203" t="s">
        <v>266</v>
      </c>
      <c r="G21" s="115" t="s">
        <v>22</v>
      </c>
      <c r="H21" s="114"/>
      <c r="I21" s="114"/>
      <c r="J21" s="114"/>
      <c r="K21" s="114"/>
      <c r="L21" s="114"/>
      <c r="M21" s="114"/>
      <c r="N21" s="114"/>
      <c r="O21" s="114"/>
      <c r="P21" s="115" t="s">
        <v>91</v>
      </c>
      <c r="R21" s="115" t="s">
        <v>44</v>
      </c>
      <c r="S21" s="114"/>
      <c r="T21" s="114"/>
      <c r="U21" s="114"/>
      <c r="V21" s="114"/>
      <c r="W21" s="114"/>
      <c r="X21" s="114"/>
      <c r="Y21" s="114"/>
      <c r="Z21" s="114"/>
      <c r="AA21" s="115" t="s">
        <v>30</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73</v>
      </c>
      <c r="H23" s="114"/>
      <c r="I23" s="114"/>
      <c r="J23" s="114"/>
      <c r="K23" s="114"/>
      <c r="L23" s="114"/>
      <c r="M23" s="114"/>
      <c r="N23" s="114"/>
      <c r="O23" s="114"/>
      <c r="P23" s="210" t="s">
        <v>318</v>
      </c>
      <c r="Q23" s="210"/>
      <c r="R23" s="210"/>
      <c r="S23" s="114"/>
      <c r="T23" s="114"/>
      <c r="U23" s="114"/>
      <c r="V23" s="114"/>
      <c r="W23" s="114"/>
      <c r="X23" s="114"/>
      <c r="Y23" s="114"/>
      <c r="Z23" s="114"/>
      <c r="AA23" s="115" t="s">
        <v>99</v>
      </c>
      <c r="AB23" s="203"/>
      <c r="AD23" s="114"/>
      <c r="AE23" s="114"/>
      <c r="AF23" s="128"/>
      <c r="AH23" s="114"/>
      <c r="AI23" s="114"/>
    </row>
    <row r="24" spans="2:35" ht="15.75" customHeight="1" thickBot="1" x14ac:dyDescent="0.3">
      <c r="B24" s="127"/>
      <c r="C24" s="203" t="s">
        <v>250</v>
      </c>
      <c r="D24" s="115" t="str">
        <f>INDEX(_Listor!$BY$3:$BZ$18,MATCH("M75",_Listor!$BX$3:$BX$18,0),1)</f>
        <v>Japan</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Skottland</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Senegal</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22</v>
      </c>
      <c r="N28" s="114"/>
      <c r="O28" s="114"/>
      <c r="P28" s="114"/>
      <c r="Q28" s="114"/>
      <c r="R28" s="114"/>
      <c r="S28" s="114"/>
      <c r="T28" s="114"/>
      <c r="U28" s="115" t="s">
        <v>44</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England</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120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22</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81</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Australien</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22</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Algeriet</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79</v>
      </c>
      <c r="K43" s="114"/>
      <c r="L43" s="114"/>
      <c r="M43" s="114"/>
      <c r="N43" s="114"/>
      <c r="O43" s="114"/>
      <c r="P43" s="114"/>
      <c r="Q43" s="114"/>
      <c r="R43" s="114"/>
      <c r="S43" s="114"/>
      <c r="T43" s="114"/>
      <c r="U43" s="114"/>
      <c r="V43" s="114"/>
      <c r="W43" s="114"/>
      <c r="X43" s="115" t="s">
        <v>114</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Österrike</v>
      </c>
      <c r="AE46" s="203"/>
      <c r="AF46" s="128"/>
      <c r="AG46" s="119"/>
      <c r="AH46" s="114"/>
      <c r="AI46" s="114"/>
    </row>
    <row r="47" spans="2:35" ht="15.75" customHeight="1" thickBot="1" x14ac:dyDescent="0.3">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Elfenbenskusten</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250</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Japan</v>
      </c>
      <c r="V2" s="86" t="str">
        <f>_Listor!$BY$5</f>
        <v>Ecuador</v>
      </c>
      <c r="W2" s="86" t="str">
        <f>_Listor!$BY$6</f>
        <v>Norge</v>
      </c>
      <c r="X2" s="86" t="str">
        <f>_Listor!$BY$7</f>
        <v>Brasilien</v>
      </c>
      <c r="Y2" s="86" t="str">
        <f>_Listor!$BY$8</f>
        <v>Tyskland</v>
      </c>
      <c r="Z2" s="86" t="str">
        <f>_Listor!$BY$9</f>
        <v>Sydkorea</v>
      </c>
      <c r="AA2" s="86" t="str">
        <f>_Listor!$BY$10</f>
        <v>Kroatien</v>
      </c>
      <c r="AB2" s="86" t="str">
        <f>_Listor!$BY$11</f>
        <v>Colombia</v>
      </c>
      <c r="AC2" s="86" t="str">
        <f>_Listor!$BY$12</f>
        <v>Spanien</v>
      </c>
      <c r="AD2" s="86" t="str">
        <f>_Listor!$BY$13</f>
        <v>USA</v>
      </c>
      <c r="AE2" s="86" t="str">
        <f>_Listor!$BY$14</f>
        <v>Belgien</v>
      </c>
      <c r="AF2" s="86" t="str">
        <f>_Listor!$BY$15</f>
        <v>Argentina</v>
      </c>
      <c r="AG2" s="86" t="str">
        <f>_Listor!$BY$16</f>
        <v>Australien</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Österrike</v>
      </c>
      <c r="BF2" t="str" cm="1">
        <f t="array" ref="BF2">IFERROR(INDEX($E$2:$E$13,_xlfn.AGGREGATE(15,6,(ROW($E$2:$E$13)-ROW($E$2)+1)/(($E$2:$E$13&lt;&gt;"")*((COUNTIF($BE$2:$BE$9,$E$2:$E$13)=0)+($E$2:$E$13='2. Bästa grupptreor'!$B$4))),ROWS($BF$2:BF2))),"")</f>
        <v>Iran</v>
      </c>
      <c r="BG2" t="str" cm="1">
        <f t="array" ref="BG2">IFERROR(INDEX($E$2:$E$13,_xlfn.AGGREGATE(15,6,(ROW($E$2:$E$13)-ROW($E$2)+1)/(($E$2:$E$13&lt;&gt;"")*((COUNTIF($BE$2:$BE$9,$E$2:$E$13)=0)+($E$2:$E$13='2. Bästa grupptreor'!$B$6))),ROWS($BG$2:BG2))),"")</f>
        <v>Marocko</v>
      </c>
      <c r="BH2" t="str" cm="1">
        <f t="array" ref="BH2">IFERROR(INDEX($E$2:$E$13,_xlfn.AGGREGATE(15,6,(ROW($E$2:$E$13)-ROW($E$2)+1)/(($E$2:$E$13&lt;&gt;"")*((COUNTIF($BE$2:$BE$9,$E$2:$E$13)=0)+($E$2:$E$13='2. Bästa grupptreor'!$B$8))),ROWS($BH$2:BH2))),"")</f>
        <v>Iran</v>
      </c>
      <c r="BI2" t="str">
        <f>IFERROR(INDEX($E$2:$E$13,_xlfn.AGGREGATE(15,6,(ROW($E$2:$E$13)-ROW($E$2)+1)/(($E$2:$E$13&lt;&gt;"")*((COUNTIF($BE$2:$BE$9,$E$2:$E$13)=0)+($E$2:$E$13='2. Bästa grupptreor'!$B$10))),ROWS($BI$2:BI2))),"")</f>
        <v>Kanada</v>
      </c>
      <c r="BJ2" t="str">
        <f>IFERROR(INDEX($E$2:$E$13,_xlfn.AGGREGATE(15,6,(ROW($E$2:$E$13)-ROW($E$2)+1)/(($E$2:$E$13&lt;&gt;"")*((COUNTIF($BE$2:$BE$9,$E$2:$E$13)=0)+($E$2:$E$13='2. Bästa grupptreor'!$B$12))),ROWS($BJ$2:BJ2))),"")</f>
        <v>Sverige</v>
      </c>
      <c r="BK2" t="str" cm="1">
        <f t="array" ref="BK2">IFERROR(INDEX($E$2:$E$13,_xlfn.AGGREGATE(15,6,(ROW($E$2:$E$13)-ROW($E$2)+1)/(($E$2:$E$13&lt;&gt;"")*((COUNTIF($BE$2:$BE$9,$E$2:$E$13)=0)+($E$2:$E$13='2. Bästa grupptreor'!$B$14))),ROWS($BK$2:BK2))),"")</f>
        <v>Elfenbenskusten</v>
      </c>
      <c r="BL2" t="str" cm="1">
        <f t="array" ref="BL2">IFERROR(INDEX($E$2:$E$13,_xlfn.AGGREGATE(15,6,(ROW($E$2:$E$13)-ROW($E$2)+1)/(($E$2:$E$13&lt;&gt;"")*((COUNTIF($BE$2:$BE$9,$E$2:$E$13)=0)+($E$2:$E$13='2. Bästa grupptreor'!$B$16))),ROWS($BL$2:BL2))),"")</f>
        <v>Tjeckien</v>
      </c>
      <c r="BM2" t="str" cm="1">
        <f t="array" ref="BM2">IFERROR(INDEX($E$2:$E$13,_xlfn.AGGREGATE(15,6,(ROW($E$2:$E$13)-ROW($E$2)+1)/(($E$2:$E$13&lt;&gt;"")*((COUNTIF($BE$2:$BE$9,$E$2:$E$13)=0)+($E$2:$E$13='2. Bästa grupptreor'!$B$18))),ROWS($BM$2:BM2))),"")</f>
        <v>Turkiet</v>
      </c>
      <c r="BN2" t="str">
        <f>IF('2. Bästa grupptreor'!B4="","",INDEX('1. Gruppspel'!$A$4:$A$15,MATCH('2. Bästa grupptreor'!B4,'1. Gruppspel'!$D$4:$D$15,0)))</f>
        <v>J</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Skottland</v>
      </c>
      <c r="V3" s="86" t="str">
        <f>_Listor!$BZ$5</f>
        <v>Turkiet</v>
      </c>
      <c r="W3" s="86" t="str">
        <f>_Listor!$BZ$6</f>
        <v>Sverige</v>
      </c>
      <c r="X3" s="86" t="str">
        <f>_Listor!$BZ$7</f>
        <v>Nederländerna</v>
      </c>
      <c r="Y3" s="86" t="str">
        <f>_Listor!$BZ$8</f>
        <v>Frankrike</v>
      </c>
      <c r="Z3" s="86" t="str">
        <f>_Listor!$BZ$9</f>
        <v>Marocko</v>
      </c>
      <c r="AA3" s="86" t="str">
        <f>_Listor!$BZ$10</f>
        <v>Senegal</v>
      </c>
      <c r="AB3" s="86" t="str">
        <f>_Listor!$BZ$11</f>
        <v>England</v>
      </c>
      <c r="AC3" s="86" t="str">
        <f>_Listor!$BZ$12</f>
        <v>Algeriet</v>
      </c>
      <c r="AD3" s="86" t="str">
        <f>_Listor!$BZ$13</f>
        <v>Kanada</v>
      </c>
      <c r="AE3" s="86" t="str">
        <f>_Listor!$BZ$14</f>
        <v>Tjeckien</v>
      </c>
      <c r="AF3" s="86" t="str">
        <f>_Listor!$BZ$15</f>
        <v>Uruguay</v>
      </c>
      <c r="AG3" s="86" t="str">
        <f>_Listor!$BZ$16</f>
        <v>Egypten</v>
      </c>
      <c r="AH3" s="86" t="str">
        <f>_Listor!$BZ$17</f>
        <v>Österrike</v>
      </c>
      <c r="AI3" s="86" t="str">
        <f>_Listor!$BZ$18</f>
        <v>Elfenbenskusten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Marocko</v>
      </c>
      <c r="BF3" t="str" cm="1">
        <f t="array" ref="BF3">IFERROR(INDEX($E$2:$E$13,_xlfn.AGGREGATE(15,6,(ROW($E$2:$E$13)-ROW($E$2)+1)/(($E$2:$E$13&lt;&gt;"")*((COUNTIF($BE$2:$BE$9,$E$2:$E$13)=0)+($E$2:$E$13='2. Bästa grupptreor'!$B$4))),ROWS($BF$2:BF3))),"")</f>
        <v>Kap Verde</v>
      </c>
      <c r="BG3" t="str" cm="1">
        <f t="array" ref="BG3">IFERROR(INDEX($E$2:$E$13,_xlfn.AGGREGATE(15,6,(ROW($E$2:$E$13)-ROW($E$2)+1)/(($E$2:$E$13&lt;&gt;"")*((COUNTIF($BE$2:$BE$9,$E$2:$E$13)=0)+($E$2:$E$13='2. Bästa grupptreor'!$B$6))),ROWS($BG$2:BG3))),"")</f>
        <v>Iran</v>
      </c>
      <c r="BH3" t="str">
        <f>IFERROR(INDEX($E$2:$E$13,_xlfn.AGGREGATE(15,6,(ROW($E$2:$E$13)-ROW($E$2)+1)/(($E$2:$E$13&lt;&gt;"")*((COUNTIF($BE$2:$BE$9,$E$2:$E$13)=0)+($E$2:$E$13='2. Bästa grupptreor'!$B$8))),ROWS($BH$2:BH3))),"")</f>
        <v>Kap Verde</v>
      </c>
      <c r="BI3" t="str">
        <f>IFERROR(INDEX($E$2:$E$13,_xlfn.AGGREGATE(15,6,(ROW($E$2:$E$13)-ROW($E$2)+1)/(($E$2:$E$13&lt;&gt;"")*((COUNTIF($BE$2:$BE$9,$E$2:$E$13)=0)+($E$2:$E$13='2. Bästa grupptreor'!$B$10))),ROWS($BI$2:BI3))),"")</f>
        <v>Iran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C</v>
      </c>
      <c r="BT3" s="139">
        <v>1</v>
      </c>
      <c r="BU3" s="139" t="str">
        <f>IF('1. Gruppspel'!B4="","",'1. Gruppspel'!B4)</f>
        <v>Sydkorea</v>
      </c>
      <c r="BV3" s="139" t="s">
        <v>322</v>
      </c>
      <c r="BX3" s="140" t="s">
        <v>249</v>
      </c>
      <c r="BY3" s="141" t="str">
        <f>IF('1. Gruppspel'!$C$4="","",'1. Gruppspel'!$C$4)</f>
        <v>Mexiko</v>
      </c>
      <c r="BZ3" s="142" t="str">
        <f>IF('1. Gruppspel'!$C$5="","",'1. Gruppspel'!$C$5)</f>
        <v>Bosnien och Hercegovina</v>
      </c>
      <c r="CA3" s="143"/>
    </row>
    <row r="4" spans="1:79" ht="15.75" thickBot="1" x14ac:dyDescent="0.3">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Senegal</v>
      </c>
      <c r="BF4" t="str" cm="1">
        <f t="array" ref="BF4">IFERROR(INDEX($E$2:$E$13,_xlfn.AGGREGATE(15,6,(ROW($E$2:$E$13)-ROW($E$2)+1)/(($E$2:$E$13&lt;&gt;"")*((COUNTIF($BE$2:$BE$9,$E$2:$E$13)=0)+($E$2:$E$13='2. Bästa grupptreor'!$B$4))),ROWS($BF$2:BF4))),"")</f>
        <v>Österrike</v>
      </c>
      <c r="BG4" t="str" cm="1">
        <f t="array" ref="BG4">IFERROR(INDEX($E$2:$E$13,_xlfn.AGGREGATE(15,6,(ROW($E$2:$E$13)-ROW($E$2)+1)/(($E$2:$E$13&lt;&gt;"")*((COUNTIF($BE$2:$BE$9,$E$2:$E$13)=0)+($E$2:$E$13='2. Bästa grupptreor'!$B$6))),ROWS($BG$2:BG4))),"")</f>
        <v>Kap Verde</v>
      </c>
      <c r="BH4" t="str">
        <f>IFERROR(INDEX($E$2:$E$13,_xlfn.AGGREGATE(15,6,(ROW($E$2:$E$13)-ROW($E$2)+1)/(($E$2:$E$13&lt;&gt;"")*((COUNTIF($BE$2:$BE$9,$E$2:$E$13)=0)+($E$2:$E$13='2. Bästa grupptreor'!$B$8))),ROWS($BH$2:BH4))),"")</f>
        <v>Senegal</v>
      </c>
      <c r="BI4" t="str">
        <f>IFERROR(INDEX($E$2:$E$13,_xlfn.AGGREGATE(15,6,(ROW($E$2:$E$13)-ROW($E$2)+1)/(($E$2:$E$13&lt;&gt;"")*((COUNTIF($BE$2:$BE$9,$E$2:$E$13)=0)+($E$2:$E$13='2. Bästa grupptreor'!$B$10))),ROWS($BI$2:BI4))),"")</f>
        <v>Kap Verde</v>
      </c>
      <c r="BJ4" t="str">
        <f>IFERROR(INDEX($E$2:$E$13,_xlfn.AGGREGATE(15,6,(ROW($E$2:$E$13)-ROW($E$2)+1)/(($E$2:$E$13&lt;&gt;"")*((COUNTIF($BE$2:$BE$9,$E$2:$E$13)=0)+($E$2:$E$13='2. Bästa grupptreor'!$B$12))),ROWS($BJ$2:BJ4))),"")</f>
        <v>Kap Verde</v>
      </c>
      <c r="BK4" t="str" cm="1">
        <f t="array" ref="BK4">IFERROR(INDEX($E$2:$E$13,_xlfn.AGGREGATE(15,6,(ROW($E$2:$E$13)-ROW($E$2)+1)/(($E$2:$E$13&lt;&gt;"")*((COUNTIF($BE$2:$BE$9,$E$2:$E$13)=0)+($E$2:$E$13='2. Bästa grupptreor'!$B$14))),ROWS($BK$2:BK4))),"")</f>
        <v>Kap Verde</v>
      </c>
      <c r="BL4" t="str" cm="1">
        <f t="array" ref="BL4">IFERROR(INDEX($E$2:$E$13,_xlfn.AGGREGATE(15,6,(ROW($E$2:$E$13)-ROW($E$2)+1)/(($E$2:$E$13&lt;&gt;"")*((COUNTIF($BE$2:$BE$9,$E$2:$E$13)=0)+($E$2:$E$13='2. Bästa grupptreor'!$B$16))),ROWS($BL$2:BL4))),"")</f>
        <v>Kap Verde</v>
      </c>
      <c r="BM4" t="str" cm="1">
        <f t="array" ref="BM4">IFERROR(INDEX($E$2:$E$13,_xlfn.AGGREGATE(15,6,(ROW($E$2:$E$13)-ROW($E$2)+1)/(($E$2:$E$13&lt;&gt;"")*((COUNTIF($BE$2:$BE$9,$E$2:$E$13)=0)+($E$2:$E$13='2. Bästa grupptreor'!$B$18))),ROWS($BM$2:BM4))),"")</f>
        <v>Kap Verde</v>
      </c>
      <c r="BN4" t="str">
        <f>IF('2. Bästa grupptreor'!B8="","",INDEX('1. Gruppspel'!$A$4:$A$15,MATCH('2. Bästa grupptreor'!B8,'1. Gruppspel'!$D$4:$D$15,0)))</f>
        <v>I</v>
      </c>
      <c r="BT4" s="139">
        <v>2</v>
      </c>
      <c r="BU4" s="139" t="str">
        <f>IF('1. Gruppspel'!B5="","",'1. Gruppspel'!B5)</f>
        <v>Schweiz</v>
      </c>
      <c r="BV4" s="139" t="s">
        <v>323</v>
      </c>
      <c r="BX4" s="140" t="s">
        <v>250</v>
      </c>
      <c r="BY4" s="141" t="str">
        <f>IF('1. Gruppspel'!$B$9="","",'1. Gruppspel'!$B$9)</f>
        <v>Japan</v>
      </c>
      <c r="BZ4" s="144" t="str">
        <f>IF('1. Gruppspel'!$C$6="","",'1. Gruppspel'!$C$6)</f>
        <v>Skottland</v>
      </c>
      <c r="CA4" s="143"/>
    </row>
    <row r="5" spans="1:79" ht="15.75" thickBot="1" x14ac:dyDescent="0.3">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Kanada</v>
      </c>
      <c r="BF5" t="str" cm="1">
        <f t="array" ref="BF5">IFERROR(INDEX($E$2:$E$13,_xlfn.AGGREGATE(15,6,(ROW($E$2:$E$13)-ROW($E$2)+1)/(($E$2:$E$13&lt;&gt;"")*((COUNTIF($BE$2:$BE$9,$E$2:$E$13)=0)+($E$2:$E$13='2. Bästa grupptreor'!$B$4))),ROWS($BF$2:BF5))),"")</f>
        <v>Uzbekistan</v>
      </c>
      <c r="BG5" t="str" cm="1">
        <f t="array" ref="BG5">IFERROR(INDEX($E$2:$E$13,_xlfn.AGGREGATE(15,6,(ROW($E$2:$E$13)-ROW($E$2)+1)/(($E$2:$E$13&lt;&gt;"")*((COUNTIF($BE$2:$BE$9,$E$2:$E$13)=0)+($E$2:$E$13='2. Bästa grupptreor'!$B$6))),ROWS($BG$2:BG5))),"")</f>
        <v>Uzbekistan</v>
      </c>
      <c r="BH5" t="str">
        <f>IFERROR(INDEX($E$2:$E$13,_xlfn.AGGREGATE(15,6,(ROW($E$2:$E$13)-ROW($E$2)+1)/(($E$2:$E$13&lt;&gt;"")*((COUNTIF($BE$2:$BE$9,$E$2:$E$13)=0)+($E$2:$E$13='2. Bästa grupptreor'!$B$8))),ROWS($BH$2:BH5))),"")</f>
        <v>Uzbekistan</v>
      </c>
      <c r="BI5" t="str">
        <f>IFERROR(INDEX($E$2:$E$13,_xlfn.AGGREGATE(15,6,(ROW($E$2:$E$13)-ROW($E$2)+1)/(($E$2:$E$13&lt;&gt;"")*((COUNTIF($BE$2:$BE$9,$E$2:$E$13)=0)+($E$2:$E$13='2. Bästa grupptreor'!$B$10))),ROWS($BI$2:BI5))),"")</f>
        <v>Uzbekistan</v>
      </c>
      <c r="BJ5" t="str">
        <f>IFERROR(INDEX($E$2:$E$13,_xlfn.AGGREGATE(15,6,(ROW($E$2:$E$13)-ROW($E$2)+1)/(($E$2:$E$13&lt;&gt;"")*((COUNTIF($BE$2:$BE$9,$E$2:$E$13)=0)+($E$2:$E$13='2. Bästa grupptreor'!$B$12))),ROWS($BJ$2:BJ5))),"")</f>
        <v>Uzbekistan</v>
      </c>
      <c r="BK5" t="str" cm="1">
        <f t="array" ref="BK5">IFERROR(INDEX($E$2:$E$13,_xlfn.AGGREGATE(15,6,(ROW($E$2:$E$13)-ROW($E$2)+1)/(($E$2:$E$13&lt;&gt;"")*((COUNTIF($BE$2:$BE$9,$E$2:$E$13)=0)+($E$2:$E$13='2. Bästa grupptreor'!$B$14))),ROWS($BK$2:BK5))),"")</f>
        <v>Uzbekistan</v>
      </c>
      <c r="BL5" t="str">
        <f>IFERROR(INDEX($E$2:$E$13,_xlfn.AGGREGATE(15,6,(ROW($E$2:$E$13)-ROW($E$2)+1)/(($E$2:$E$13&lt;&gt;"")*((COUNTIF($BE$2:$BE$9,$E$2:$E$13)=0)+($E$2:$E$13='2. Bästa grupptreor'!$B$16))),ROWS($BL$2:BL5))),"")</f>
        <v>Uzbekistan</v>
      </c>
      <c r="BM5" t="str">
        <f>IFERROR(INDEX($E$2:$E$13,_xlfn.AGGREGATE(15,6,(ROW($E$2:$E$13)-ROW($E$2)+1)/(($E$2:$E$13&lt;&gt;"")*((COUNTIF($BE$2:$BE$9,$E$2:$E$13)=0)+($E$2:$E$13='2. Bästa grupptreor'!$B$18))),ROWS($BM$2:BM5))),"")</f>
        <v>Uzbekistan</v>
      </c>
      <c r="BN5" t="str">
        <f>IF('2. Bästa grupptreor'!B10="","",INDEX('1. Gruppspel'!$A$4:$A$15,MATCH('2. Bästa grupptreor'!B10,'1. Gruppspel'!$D$4:$D$15,0)))</f>
        <v>B</v>
      </c>
      <c r="BT5" s="139">
        <v>3</v>
      </c>
      <c r="BU5" s="139" t="str">
        <f>IF('1. Gruppspel'!B6="","",'1. Gruppspel'!B6)</f>
        <v>Brasilien</v>
      </c>
      <c r="BV5" s="139" t="s">
        <v>324</v>
      </c>
      <c r="BX5" s="140" t="s">
        <v>251</v>
      </c>
      <c r="BY5" s="141" t="str">
        <f>IF('1. Gruppspel'!$B$8="","",'1. Gruppspel'!$B$8)</f>
        <v>Ecuador</v>
      </c>
      <c r="BZ5" s="142" t="str">
        <f>IF(_Listor!$BO$2="","",IFERROR(INDEX('1. Gruppspel'!$D$4:$D$15,MATCH(RIGHT(INDEX('Bilaga 3. AnnexC'!$F$2:$F$496,MATCH(_Listor!$BO$2,'Bilaga 3. AnnexC'!$B$2:$B$496,0)),1),'1. Gruppspel'!$A$4:$A$15,0)),""))</f>
        <v>Turkiet</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Panama</v>
      </c>
      <c r="BG6" t="str" cm="1">
        <f t="array" ref="BG6">IFERROR(INDEX($E$2:$E$13,_xlfn.AGGREGATE(15,6,(ROW($E$2:$E$13)-ROW($E$2)+1)/(($E$2:$E$13&lt;&gt;"")*((COUNTIF($BE$2:$BE$9,$E$2:$E$13)=0)+($E$2:$E$13='2. Bästa grupptreor'!$B$6))),ROWS($BG$2:BG6))),"")</f>
        <v>Panama</v>
      </c>
      <c r="BH6" t="str">
        <f>IFERROR(INDEX($E$2:$E$13,_xlfn.AGGREGATE(15,6,(ROW($E$2:$E$13)-ROW($E$2)+1)/(($E$2:$E$13&lt;&gt;"")*((COUNTIF($BE$2:$BE$9,$E$2:$E$13)=0)+($E$2:$E$13='2. Bästa grupptreor'!$B$8))),ROWS($BH$2:BH6))),"")</f>
        <v>Panama</v>
      </c>
      <c r="BI6" t="str">
        <f>IFERROR(INDEX($E$2:$E$13,_xlfn.AGGREGATE(15,6,(ROW($E$2:$E$13)-ROW($E$2)+1)/(($E$2:$E$13&lt;&gt;"")*((COUNTIF($BE$2:$BE$9,$E$2:$E$13)=0)+($E$2:$E$13='2. Bästa grupptreor'!$B$10))),ROWS($BI$2:BI6))),"")</f>
        <v>Panama</v>
      </c>
      <c r="BJ6" t="str">
        <f>IFERROR(INDEX($E$2:$E$13,_xlfn.AGGREGATE(15,6,(ROW($E$2:$E$13)-ROW($E$2)+1)/(($E$2:$E$13&lt;&gt;"")*((COUNTIF($BE$2:$BE$9,$E$2:$E$13)=0)+($E$2:$E$13='2. Bästa grupptreor'!$B$12))),ROWS($BJ$2:BJ6))),"")</f>
        <v>Panama</v>
      </c>
      <c r="BK6" t="str">
        <f>IFERROR(INDEX($E$2:$E$13,_xlfn.AGGREGATE(15,6,(ROW($E$2:$E$13)-ROW($E$2)+1)/(($E$2:$E$13&lt;&gt;"")*((COUNTIF($BE$2:$BE$9,$E$2:$E$13)=0)+($E$2:$E$13='2. Bästa grupptreor'!$B$14))),ROWS($BK$2:BK6))),"")</f>
        <v>Panama</v>
      </c>
      <c r="BL6" t="str" cm="1">
        <f t="array" ref="BL6">IFERROR(INDEX($E$2:$E$13,_xlfn.AGGREGATE(15,6,(ROW($E$2:$E$13)-ROW($E$2)+1)/(($E$2:$E$13&lt;&gt;"")*((COUNTIF($BE$2:$BE$9,$E$2:$E$13)=0)+($E$2:$E$13='2. Bästa grupptreor'!$B$16))),ROWS($BL$2:BL6))),"")</f>
        <v>Panama</v>
      </c>
      <c r="BM6" t="str" cm="1">
        <f t="array" ref="BM6">IFERROR(INDEX($E$2:$E$13,_xlfn.AGGREGATE(15,6,(ROW($E$2:$E$13)-ROW($E$2)+1)/(($E$2:$E$13&lt;&gt;"")*((COUNTIF($BE$2:$BE$9,$E$2:$E$13)=0)+($E$2:$E$13='2. Bästa grupptreor'!$B$18))),ROWS($BM$2:BM6))),"")</f>
        <v>Panama</v>
      </c>
      <c r="BN6" t="str">
        <f>IF('2. Bästa grupptreor'!B12="","",INDEX('1. Gruppspel'!$A$4:$A$15,MATCH('2. Bästa grupptreor'!B12,'1. Gruppspel'!$D$4:$D$15,0)))</f>
        <v>F</v>
      </c>
      <c r="BT6" s="139">
        <v>4</v>
      </c>
      <c r="BU6" s="139" t="str">
        <f>IF('1. Gruppspel'!B7="","",'1. Gruppspel'!B7)</f>
        <v>USA</v>
      </c>
      <c r="BV6" s="139" t="s">
        <v>325</v>
      </c>
      <c r="BX6" s="140" t="s">
        <v>252</v>
      </c>
      <c r="BY6" s="141" t="str">
        <f>IF('1. Gruppspel'!$B$12="","",'1. Gruppspel'!$B$12)</f>
        <v>Norge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Elfenbenskusten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E</v>
      </c>
      <c r="BT7" s="139">
        <v>5</v>
      </c>
      <c r="BU7" s="139" t="str">
        <f>IF('1. Gruppspel'!B8="","",'1. Gruppspel'!B8)</f>
        <v>Ecuador</v>
      </c>
      <c r="BV7" s="139" t="s">
        <v>326</v>
      </c>
      <c r="BX7" s="140" t="s">
        <v>253</v>
      </c>
      <c r="BY7" s="141" t="str">
        <f>IF('1. Gruppspel'!$B$6="","",'1. Gruppspel'!$B$6)</f>
        <v>Brasilien</v>
      </c>
      <c r="BZ7" s="142" t="str">
        <f>IF('1. Gruppspel'!$C$9="","",'1. Gruppspel'!$C$9)</f>
        <v>Nederländerna</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Tjeckien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A</v>
      </c>
      <c r="BT8" s="139">
        <v>6</v>
      </c>
      <c r="BU8" s="139" t="str">
        <f>IF('1. Gruppspel'!B9="","",'1. Gruppspel'!B9)</f>
        <v>Japan</v>
      </c>
      <c r="BV8" s="139" t="s">
        <v>327</v>
      </c>
      <c r="BX8" s="140" t="s">
        <v>254</v>
      </c>
      <c r="BY8" s="141" t="str">
        <f>IF('1. Gruppspel'!$C$8="","",'1. Gruppspel'!$C$8)</f>
        <v>Tyskland</v>
      </c>
      <c r="BZ8" s="144" t="str">
        <f>IF('1. Gruppspel'!$C$12="","",'1. Gruppspel'!$C$12)</f>
        <v>Frankrike</v>
      </c>
      <c r="CA8" s="143"/>
    </row>
    <row r="9" spans="1:79" ht="15.75" thickBot="1" x14ac:dyDescent="0.3">
      <c r="A9" t="s">
        <v>41</v>
      </c>
      <c r="E9" s="86" t="str">
        <f>IF('1. Gruppspel'!D11="","",'1. Gruppspel'!D11)</f>
        <v>Kap Verde</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Turkiet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D</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Marocko</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Österrike</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Norge</v>
      </c>
      <c r="BV11" s="139" t="s">
        <v>330</v>
      </c>
      <c r="BX11" s="140" t="s">
        <v>257</v>
      </c>
      <c r="BY11" s="141" t="str">
        <f>IF('1. Gruppspel'!$C$14="","",'1. Gruppspel'!$C$14)</f>
        <v>Colombia</v>
      </c>
      <c r="BZ11" s="142" t="str">
        <f>IF('1. Gruppspel'!$C$15="","",'1. Gruppspel'!$C$15)</f>
        <v>England</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Algeriet</v>
      </c>
      <c r="CA12" s="143"/>
    </row>
    <row r="13" spans="1:79" ht="15.75" thickBot="1" x14ac:dyDescent="0.3">
      <c r="A13" t="s">
        <v>53</v>
      </c>
      <c r="E13" s="86" t="str">
        <f>IF('1. Gruppspel'!D15="","",'1. Gruppspel'!D15)</f>
        <v>Panama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Australien</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Österrike</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Australien</v>
      </c>
      <c r="BV18" s="139" t="s">
        <v>337</v>
      </c>
      <c r="BX18" s="140" t="s">
        <v>264</v>
      </c>
      <c r="BY18" s="141" t="str">
        <f>IF('1. Gruppspel'!$B$14="","",'1. Gruppspel'!$B$14)</f>
        <v>Portugal</v>
      </c>
      <c r="BZ18" s="142" t="str">
        <f>IF(_Listor!$BO$2="","",IFERROR(INDEX('1. Gruppspel'!$D$4:$D$15,MATCH(RIGHT(INDEX('Bilaga 3. AnnexC'!$I$2:$I$496,MATCH(_Listor!$BO$2,'Bilaga 3. AnnexC'!$B$2:$B$496,0)),1),'1. Gruppspel'!$A$4:$A$15,0)),""))</f>
        <v>Elfenbenskusten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Tyskland</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Nederländerna</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Frankrike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Algeriet</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Simon Mark</v>
      </c>
      <c r="B3" s="2" t="str">
        <f>'3. Slutspelsträd'!G9</f>
        <v>Ecuador</v>
      </c>
      <c r="C3" s="2" t="str">
        <f>'3. Slutspelsträd'!G11</f>
        <v>Norge</v>
      </c>
      <c r="D3" s="2" t="str">
        <f>'3. Slutspelsträd'!G21</f>
        <v>Mexiko</v>
      </c>
      <c r="E3" s="2" t="str">
        <f>'3. Slutspelsträd'!G23</f>
        <v>Japan</v>
      </c>
      <c r="F3" s="2" t="str">
        <f>'3. Slutspelsträd'!G35</f>
        <v>England</v>
      </c>
      <c r="G3" s="2" t="str">
        <f>'3. Slutspelsträd'!G37</f>
        <v>Spanien</v>
      </c>
      <c r="H3" s="2" t="str">
        <f>'3. Slutspelsträd'!G47</f>
        <v>USA</v>
      </c>
      <c r="I3" s="2" t="str">
        <f>'3. Slutspelsträd'!G49</f>
        <v>Belgien</v>
      </c>
      <c r="J3" s="2" t="str">
        <f>'3. Slutspelsträd'!AA9</f>
        <v>Brasilien</v>
      </c>
      <c r="K3" s="2" t="str">
        <f>'3. Slutspelsträd'!AA11</f>
        <v>Frankrike</v>
      </c>
      <c r="L3" s="2" t="str">
        <f>'3. Slutspelsträd'!AA21</f>
        <v>Sydkorea</v>
      </c>
      <c r="M3" s="2" t="str">
        <f>'3. Slutspelsträd'!AA23</f>
        <v>Senegal</v>
      </c>
      <c r="N3" s="2" t="str">
        <f>'3. Slutspelsträd'!AA35</f>
        <v>Argentina</v>
      </c>
      <c r="O3" s="2" t="str">
        <f>'3. Slutspelsträd'!AA37</f>
        <v>Egypten</v>
      </c>
      <c r="P3" s="2" t="str">
        <f>'3. Slutspelsträd'!AA47</f>
        <v>Schweiz</v>
      </c>
      <c r="Q3" s="2" t="str">
        <f>'3. Slutspelsträd'!AA49</f>
        <v>Portugal</v>
      </c>
      <c r="R3" s="2" t="str">
        <f>'3. Slutspelsträd'!J15</f>
        <v>Ecuador</v>
      </c>
      <c r="S3" s="2" t="str">
        <f>'3. Slutspelsträd'!J17</f>
        <v>Mexiko</v>
      </c>
      <c r="T3" s="2" t="str">
        <f>'3. Slutspelsträd'!J41</f>
        <v>Spanien</v>
      </c>
      <c r="U3" s="2" t="str">
        <f>'3. Slutspelsträd'!J43</f>
        <v>Belgien</v>
      </c>
      <c r="V3" s="2" t="str">
        <f>'3. Slutspelsträd'!X15</f>
        <v>Brasilien</v>
      </c>
      <c r="W3" s="2" t="str">
        <f>'3. Slutspelsträd'!X17</f>
        <v>Sydkorea</v>
      </c>
      <c r="X3" s="2" t="str">
        <f>'3. Slutspelsträd'!X41</f>
        <v>Argentina</v>
      </c>
      <c r="Y3" s="2" t="str">
        <f>'3. Slutspelsträd'!X43</f>
        <v>Portugal</v>
      </c>
      <c r="Z3" s="2" t="str">
        <f>'3. Slutspelsträd'!M30</f>
        <v>Spanien</v>
      </c>
      <c r="AA3" s="2" t="str">
        <f>'3. Slutspelsträd'!M28</f>
        <v>Mexiko</v>
      </c>
      <c r="AB3" s="2" t="str">
        <f>'3. Slutspelsträd'!U30</f>
        <v>Argentina</v>
      </c>
      <c r="AC3" s="2" t="str">
        <f>'3. Slutspelsträd'!U28</f>
        <v>Brasilien</v>
      </c>
      <c r="AD3" s="2" t="str">
        <f>'3. Slutspelsträd'!P21</f>
        <v>Spanien</v>
      </c>
      <c r="AE3" s="2" t="str">
        <f>'3. Slutspelsträd'!R21</f>
        <v>Brasilien</v>
      </c>
      <c r="AF3" s="2" t="str">
        <f>'3. Slutspelsträd'!Q19</f>
        <v>Brasilien</v>
      </c>
      <c r="AG3" s="2" t="str">
        <f>'3. Slutspelsträd'!Q39</f>
        <v>Mexiko</v>
      </c>
      <c r="AH3" s="2" t="str">
        <f>'4. Skyttekung och utslagsfråga'!C4</f>
        <v>Lamine Yamal</v>
      </c>
      <c r="AI3" s="2">
        <f>'4. Skyttekung och utslagsfråga'!C6</f>
        <v>250</v>
      </c>
    </row>
    <row r="6" spans="1:35" x14ac:dyDescent="0.25">
      <c r="A6" s="221" t="s">
        <v>909</v>
      </c>
      <c r="B6" s="191"/>
      <c r="C6" s="191"/>
      <c r="D6" s="192"/>
    </row>
    <row r="7" spans="1:35" x14ac:dyDescent="0.25">
      <c r="A7" s="1" t="s">
        <v>15</v>
      </c>
      <c r="B7" s="1" t="s">
        <v>313</v>
      </c>
      <c r="C7" s="1" t="s">
        <v>314</v>
      </c>
      <c r="D7" s="1" t="s">
        <v>315</v>
      </c>
    </row>
    <row r="8" spans="1:35" x14ac:dyDescent="0.25">
      <c r="A8" s="2" t="s">
        <v>21</v>
      </c>
      <c r="B8" s="2" t="str">
        <f>'1. Gruppspel'!B62</f>
        <v>Sydkorea</v>
      </c>
      <c r="C8" s="2" t="str">
        <f>'1. Gruppspel'!C62</f>
        <v>Mexiko</v>
      </c>
      <c r="D8" s="2" t="str">
        <f>'1. Gruppspel'!D62</f>
        <v>Tjeckien</v>
      </c>
    </row>
    <row r="9" spans="1:35" x14ac:dyDescent="0.25">
      <c r="A9" s="2" t="s">
        <v>26</v>
      </c>
      <c r="B9" s="2" t="str">
        <f>'1. Gruppspel'!B63</f>
        <v>Schweiz</v>
      </c>
      <c r="C9" s="2" t="str">
        <f>'1. Gruppspel'!C63</f>
        <v>Bosnien och Hercegovina</v>
      </c>
      <c r="D9" s="2" t="str">
        <f>'1. Gruppspel'!D63</f>
        <v>Kanada</v>
      </c>
    </row>
    <row r="10" spans="1:35" x14ac:dyDescent="0.25">
      <c r="A10" s="2" t="s">
        <v>29</v>
      </c>
      <c r="B10" s="2" t="str">
        <f>'1. Gruppspel'!B64</f>
        <v>Brasilien</v>
      </c>
      <c r="C10" s="2" t="str">
        <f>'1. Gruppspel'!C64</f>
        <v>Skottland</v>
      </c>
      <c r="D10" s="2" t="str">
        <f>'1. Gruppspel'!D64</f>
        <v>Marocko</v>
      </c>
    </row>
    <row r="11" spans="1:35" x14ac:dyDescent="0.25">
      <c r="A11" s="2" t="s">
        <v>31</v>
      </c>
      <c r="B11" s="2" t="str">
        <f>'1. Gruppspel'!B65</f>
        <v>USA</v>
      </c>
      <c r="C11" s="2" t="str">
        <f>'1. Gruppspel'!C65</f>
        <v>Australien</v>
      </c>
      <c r="D11" s="2" t="str">
        <f>'1. Gruppspel'!D65</f>
        <v>Turkiet</v>
      </c>
    </row>
    <row r="12" spans="1:35" x14ac:dyDescent="0.25">
      <c r="A12" s="2" t="s">
        <v>34</v>
      </c>
      <c r="B12" s="2" t="str">
        <f>'1. Gruppspel'!B66</f>
        <v>Ecuador</v>
      </c>
      <c r="C12" s="2" t="str">
        <f>'1. Gruppspel'!C66</f>
        <v>Tyskland</v>
      </c>
      <c r="D12" s="2" t="str">
        <f>'1. Gruppspel'!D66</f>
        <v>Elfenbenskusten</v>
      </c>
    </row>
    <row r="13" spans="1:35" x14ac:dyDescent="0.25">
      <c r="A13" s="2" t="s">
        <v>37</v>
      </c>
      <c r="B13" s="2" t="str">
        <f>'1. Gruppspel'!B67</f>
        <v>Japan</v>
      </c>
      <c r="C13" s="2" t="str">
        <f>'1. Gruppspel'!C67</f>
        <v>Nederländerna</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Kap Verde</v>
      </c>
    </row>
    <row r="16" spans="1:35" x14ac:dyDescent="0.25">
      <c r="A16" s="2" t="s">
        <v>46</v>
      </c>
      <c r="B16" s="2" t="str">
        <f>'1. Gruppspel'!B70</f>
        <v>Norge</v>
      </c>
      <c r="C16" s="2" t="str">
        <f>'1. Gruppspel'!C70</f>
        <v>Frankrike</v>
      </c>
      <c r="D16" s="2" t="str">
        <f>'1. Gruppspel'!D70</f>
        <v>Senegal</v>
      </c>
    </row>
    <row r="17" spans="1:4" x14ac:dyDescent="0.25">
      <c r="A17" s="2" t="s">
        <v>49</v>
      </c>
      <c r="B17" s="2" t="str">
        <f>'1. Gruppspel'!B71</f>
        <v>Argentina</v>
      </c>
      <c r="C17" s="2" t="str">
        <f>'1. Gruppspel'!C71</f>
        <v>Algeriet</v>
      </c>
      <c r="D17" s="2" t="str">
        <f>'1. Gruppspel'!D71</f>
        <v>Österrike</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Kroatien</v>
      </c>
      <c r="C19" s="2" t="str">
        <f>'1. Gruppspel'!C73</f>
        <v>England</v>
      </c>
      <c r="D19" s="2" t="str">
        <f>'1. Gruppspel'!D73</f>
        <v>Panama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2026-06-08T19:13:30Z</dcterms:modified>
</cp:coreProperties>
</file>