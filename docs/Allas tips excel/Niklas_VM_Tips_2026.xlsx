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8914DF17-ECAF-48B2-A78B-BBEC47E061CB}" xr6:coauthVersionLast="47" xr6:coauthVersionMax="47" xr10:uidLastSave="{00000000-0000-0000-0000-000000000000}"/>
  <bookViews>
    <workbookView xWindow="3450" yWindow="2340" windowWidth="22635" windowHeight="12855" firstSheet="4"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<sst xmlns="http://schemas.openxmlformats.org/spreadsheetml/2006/main" count="6076" uniqueCount="933">
  <si>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</si>
  <si>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</si>
  <si>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</si>
  <si>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</si>
  <si>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</si>
  <si>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</si>
  <si>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</si>
  <si>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</si>
  <si>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</si>
  <si>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</si>
  <si>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</si>
  <si>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</si>
  <si>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</si>
  <si>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</si>
  <si>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</si>
  <si>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</si>
  <si>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</si>
  <si>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</si>
  <si>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</si>
  <si>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</si>
  <si>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</si>
  <si>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</si>
  <si>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</si>
  <si>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</si>
  <si>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</si>
  <si>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</si>
  <si>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</si>
  <si>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</si>
  <si>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</si>
  <si>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</si>
  <si>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</si>
  <si>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</si>
  <si>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</si>
  <si>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</si>
  <si>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</si>
  <si>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</si>
  <si>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</si>
  <si>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</si>
  <si>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</si>
  <si>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</si>
  <si>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</si>
  <si>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</si>
  <si>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</si>
  <si>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</si>
  <si>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</si>
  <si>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</si>
  <si>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</si>
  <si>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</si>
  <si>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</si>
  <si>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</si>
  <si>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</si>
  <si>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</si>
  <si>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</si>
  <si>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</si>
  <si>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</si>
  <si>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</si>
  <si>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</si>
  <si>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</si>
  <si>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</si>
  <si>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</si>
  <si>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</si>
  <si>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</si>
  <si>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</si>
  <si>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</si>
  <si>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</si>
  <si>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</si>
  <si>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</si>
  <si>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</si>
  <si>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</si>
  <si>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</si>
  <si>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</si>
  <si>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</si>
  <si>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</si>
  <si>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</si>
  <si>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</si>
  <si>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</si>
  <si>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</si>
  <si>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</si>
  <si>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</si>
  <si>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</si>
  <si>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</si>
  <si>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</si>
  <si>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</si>
  <si>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</si>
  <si>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</si>
  <si>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</si>
  <si>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</si>
  <si>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</si>
  <si>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</si>
  <si>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</si>
  <si>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</si>
  <si>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</si>
  <si>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</si>
  <si>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</si>
  <si>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</si>
  <si>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</si>
  <si>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</si>
  <si>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</si>
  <si>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</si>
  <si>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</si>
  <si>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</si>
  <si>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</si>
  <si>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</si>
  <si>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</si>
  <si>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</si>
  <si>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</si>
  <si>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</si>
  <si>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</si>
  <si>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</si>
  <si>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</si>
  <si>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</si>
  <si>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</si>
  <si>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</si>
  <si>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</si>
  <si>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</si>
  <si>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</si>
  <si>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</si>
  <si>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</si>
  <si>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</si>
  <si>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</si>
  <si>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</si>
  <si>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</si>
  <si>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</si>
  <si>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</si>
  <si>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</si>
  <si>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</si>
  <si>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</si>
  <si>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</si>
  <si>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</si>
  <si>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</si>
  <si>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</si>
  <si>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</si>
  <si>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</si>
  <si>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</si>
  <si>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</si>
  <si>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</si>
  <si>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</si>
  <si>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</si>
  <si>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</si>
  <si>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</si>
  <si>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</si>
  <si>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</si>
  <si>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</si>
  <si>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</si>
  <si>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</si>
  <si>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</si>
  <si>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</si>
  <si>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</si>
  <si>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</si>
  <si>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</si>
  <si>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</si>
  <si>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</si>
  <si>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</si>
  <si>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</si>
  <si>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</si>
  <si>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</si>
  <si>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</si>
  <si>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</si>
  <si>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</si>
  <si>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</si>
  <si>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</si>
  <si>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</si>
  <si>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</si>
  <si>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</si>
  <si>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</si>
  <si>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</si>
  <si>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</si>
  <si>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</si>
  <si>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</si>
  <si>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</si>
  <si>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</si>
  <si>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</si>
  <si>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</si>
  <si>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</si>
  <si>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</si>
  <si>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</si>
  <si>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</si>
  <si>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</si>
  <si>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</si>
  <si>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</si>
  <si>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</si>
  <si>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</si>
  <si>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</si>
  <si>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</si>
  <si>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</si>
  <si>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</si>
  <si>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</si>
  <si>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</si>
  <si>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</si>
  <si>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</si>
  <si>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</si>
  <si>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</si>
  <si>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</si>
  <si>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</si>
  <si>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</si>
  <si>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</si>
  <si>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</si>
  <si>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</si>
  <si>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</si>
  <si>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</si>
  <si>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</si>
  <si>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</si>
  <si>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</si>
  <si>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</si>
  <si>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</si>
  <si>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</si>
  <si>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</si>
  <si>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</si>
  <si>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</si>
  <si>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</si>
  <si>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</si>
  <si>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</si>
  <si>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</si>
  <si>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</si>
  <si>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</si>
  <si>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</si>
  <si>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</si>
  <si>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</si>
  <si>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</si>
  <si>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</si>
  <si>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</si>
  <si>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</si>
  <si>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</si>
  <si>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</si>
  <si>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</si>
  <si>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</si>
  <si>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</si>
  <si>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</si>
  <si>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</si>
  <si>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</si>
  <si>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</si>
  <si>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</si>
  <si>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</si>
  <si>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</si>
  <si>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</si>
  <si>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</si>
  <si>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</si>
  <si>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</si>
  <si>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</si>
  <si>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</si>
  <si>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</si>
  <si>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</si>
  <si>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</si>
  <si>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</si>
  <si>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</si>
  <si>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</si>
  <si>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</si>
  <si>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</si>
  <si>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</si>
  <si>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</si>
  <si>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</si>
  <si>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</si>
  <si>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</si>
  <si>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</si>
  <si>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</si>
  <si>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</si>
  <si>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</si>
  <si>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</si>
  <si>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</si>
  <si>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</si>
  <si>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</si>
  <si>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</si>
  <si>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</si>
  <si>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</si>
  <si>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</si>
  <si>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</si>
  <si>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</si>
  <si>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</si>
  <si>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</si>
  <si>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</si>
  <si>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</si>
  <si>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</si>
  <si>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</si>
  <si>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</si>
  <si>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</si>
  <si>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</si>
  <si>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</si>
  <si>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</si>
  <si>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</si>
  <si>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</si>
  <si>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</si>
  <si>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</si>
  <si>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</si>
  <si>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</si>
  <si>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</si>
  <si>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</si>
  <si>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</si>
  <si>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</si>
  <si>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</si>
  <si>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</si>
  <si>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</si>
  <si>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</si>
  <si>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</si>
  <si>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</si>
  <si>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</si>
  <si>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</si>
  <si>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</si>
  <si>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</si>
  <si>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</si>
  <si>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</si>
  <si>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</si>
  <si>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</si>
  <si>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</si>
  <si>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</si>
  <si>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</si>
  <si>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</si>
  <si>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</si>
  <si>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</si>
  <si>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</si>
  <si>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</si>
  <si>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</si>
  <si>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</si>
  <si>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</si>
  <si>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</si>
  <si>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</si>
  <si>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</si>
  <si>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</si>
  <si>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</si>
  <si>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</si>
  <si>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</si>
  <si>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</si>
  <si>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</si>
  <si>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</si>
  <si>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</si>
  <si>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</si>
  <si>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</si>
  <si>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</si>
  <si>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</si>
  <si>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</si>
  <si>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</si>
  <si>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</si>
  <si>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</si>
  <si>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</si>
  <si>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</si>
  <si>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</si>
  <si>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</si>
  <si>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</si>
  <si>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</si>
  <si>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</si>
  <si>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</si>
  <si>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</si>
  <si>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</si>
  <si>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</si>
  <si>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</si>
  <si>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</si>
  <si>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</si>
  <si>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</si>
  <si>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</si>
  <si>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</si>
  <si>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</si>
  <si>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</si>
  <si>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</si>
  <si>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</si>
  <si>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</si>
  <si>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</si>
  <si>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</si>
  <si>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</si>
  <si>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</si>
  <si>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</si>
  <si>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</si>
  <si>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</si>
  <si>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</si>
  <si>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</si>
  <si>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</si>
  <si>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</si>
  <si>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</si>
  <si>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</si>
  <si>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</si>
  <si>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</si>
  <si>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</si>
  <si>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</si>
  <si>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</si>
  <si>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</si>
  <si>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</si>
  <si>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</si>
  <si>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</si>
  <si>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</si>
  <si>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</si>
  <si>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</si>
  <si>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</si>
  <si>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</si>
  <si>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</si>
  <si>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</si>
  <si>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</si>
  <si>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</si>
  <si>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</si>
  <si>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</si>
  <si>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</si>
  <si>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</si>
  <si>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</si>
  <si>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</si>
  <si>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</si>
  <si>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</si>
  <si>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</si>
  <si>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</si>
  <si>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</si>
  <si>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</si>
  <si>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</si>
  <si>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</si>
  <si>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</si>
  <si>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</si>
  <si>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</si>
  <si>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</si>
  <si>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</si>
  <si>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</si>
  <si>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</si>
  <si>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</si>
  <si>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</si>
  <si>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</si>
  <si>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</si>
  <si>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</si>
  <si>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</si>
  <si>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</si>
  <si>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</si>
  <si>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</si>
  <si>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</si>
  <si>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</si>
  <si>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</si>
  <si>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</si>
  <si>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</si>
  <si>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</si>
  <si>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</si>
  <si>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</si>
  <si>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</si>
  <si>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</si>
  <si>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</si>
  <si>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</si>
  <si>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</si>
  <si>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</si>
  <si>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</si>
  <si>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</si>
  <si>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</si>
  <si>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</si>
  <si>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</si>
  <si>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</si>
  <si>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</si>
  <si>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</si>
  <si>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</si>
  <si>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</si>
  <si>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</si>
  <si>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</si>
  <si>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</si>
  <si>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</si>
  <si>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</si>
  <si>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</si>
  <si>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</si>
  <si>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</si>
  <si>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</si>
  <si>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</si>
  <si>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</si>
  <si>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</si>
  <si>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</si>
  <si>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</si>
  <si>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</si>
  <si>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</si>
  <si>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</si>
  <si>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</si>
  <si>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</si>
  <si>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</si>
  <si>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</si>
  <si>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</si>
  <si>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</si>
  <si>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</si>
  <si>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</si>
  <si>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</si>
  <si>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</si>
  <si>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</si>
  <si>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</si>
  <si>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</si>
  <si>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</si>
  <si>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</si>
  <si>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</si>
  <si>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</si>
  <si>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</si>
  <si>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</si>
  <si>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</si>
  <si>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</si>
  <si>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</si>
  <si>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</si>
  <si>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</si>
  <si>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</si>
  <si>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</si>
  <si>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</si>
  <si>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</si>
  <si>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</si>
  <si>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</si>
  <si>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</si>
  <si>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</si>
  <si>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</si>
  <si>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</si>
  <si>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</si>
  <si>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</si>
  <si>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</si>
  <si>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</si>
  <si>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</si>
  <si>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</si>
  <si>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</si>
  <si>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</si>
  <si>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</si>
  <si>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</si>
  <si>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</si>
  <si>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</si>
  <si>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</si>
  <si>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</si>
  <si>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</si>
  <si>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</si>
  <si>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</si>
  <si>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</si>
  <si>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</si>
  <si>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</si>
  <si>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</si>
  <si>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</si>
  <si>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</si>
  <si>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</si>
  <si>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</si>
  <si>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</si>
  <si>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</si>
  <si>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</si>
  <si>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</si>
  <si>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</si>
  <si>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</si>
  <si>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</si>
  <si>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</si>
  <si>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</si>
  <si>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</si>
  <si>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</si>
  <si>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</si>
  <si>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</si>
  <si>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</si>
  <si>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</si>
  <si>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</si>
  <si>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</si>
  <si>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</si>
  <si>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</si>
  <si>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</si>
  <si>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</si>
  <si>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</si>
  <si>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</si>
  <si>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</si>
  <si>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</si>
  <si>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</si>
  <si>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</si>
  <si>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</si>
  <si>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</si>
  <si>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</si>
  <si>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</si>
  <si>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</si>
  <si>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</si>
  <si>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</si>
  <si>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</si>
  <si>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</si>
  <si>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</si>
  <si>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</si>
  <si>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</si>
  <si>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</si>
  <si>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</si>
  <si>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</si>
  <si>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</si>
  <si>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</si>
  <si>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</si>
  <si>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</si>
  <si>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</si>
  <si>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</si>
  <si>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</si>
  <si>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</si>
  <si>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</si>
  <si>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</si>
  <si>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</si>
  <si>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</si>
  <si>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</si>
  <si>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</si>
  <si>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</si>
  <si>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</si>
  <si>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</si>
  <si>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</si>
  <si>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</si>
  <si>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</si>
  <si>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</si>
  <si>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</si>
  <si>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</si>
  <si>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</si>
  <si>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</si>
  <si>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</si>
  <si>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</si>
  <si>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</si>
  <si>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</si>
  <si>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</si>
  <si>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</si>
  <si>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</si>
  <si>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</si>
  <si>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</si>
  <si>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</si>
  <si>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</si>
  <si>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</si>
  <si>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</si>
  <si>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</si>
  <si>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</si>
  <si>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</si>
  <si>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</si>
  <si>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</si>
  <si>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</si>
  <si>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</si>
  <si>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</si>
  <si>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</si>
  <si>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</si>
  <si>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</si>
  <si>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</si>
  <si>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</si>
  <si>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</si>
  <si>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</si>
  <si>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</si>
  <si>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</si>
  <si>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</si>
  <si>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</si>
  <si>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</si>
  <si>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</si>
  <si>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</si>
  <si>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</si>
  <si>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</si>
  <si>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</si>
  <si>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</si>
  <si>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</si>
  <si>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</si>
  <si>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</si>
  <si>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</si>
  <si>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</si>
  <si>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</si>
  <si>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</si>
  <si>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</si>
  <si>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</si>
  <si>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</si>
  <si>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</si>
  <si>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</si>
  <si>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</si>
  <si>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</si>
  <si>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</si>
  <si>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</si>
  <si>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</si>
  <si>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</si>
  <si>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</si>
  <si>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</si>
  <si>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</si>
  <si>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</si>
  <si>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</si>
  <si>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</si>
  <si>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</si>
  <si>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</si>
  <si>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</si>
  <si>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</si>
  <si>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</si>
  <si>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</si>
  <si>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</si>
  <si>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</si>
  <si>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</si>
  <si>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</si>
  <si>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</si>
  <si>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</si>
  <si>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</si>
  <si>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</si>
  <si>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</si>
  <si>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</si>
  <si>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</si>
  <si>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</si>
  <si>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</si>
  <si>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</si>
  <si>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</si>
  <si>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</si>
  <si>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</si>
  <si>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</si>
  <si>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</si>
  <si>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</si>
  <si>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</si>
  <si>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</si>
  <si>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</si>
  <si>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</si>
  <si>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</si>
  <si>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</si>
  <si>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</si>
  <si>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</si>
  <si>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</si>
  <si>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</si>
  <si>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</si>
  <si>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</si>
  <si>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</si>
  <si>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</si>
  <si>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</si>
  <si>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</si>
  <si>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</si>
  <si>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</si>
  <si>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</si>
  <si>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</si>
  <si>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</si>
  <si>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</si>
  <si>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</si>
  <si>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</si>
  <si>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</si>
  <si>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</si>
  <si>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</si>
  <si>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</si>
  <si>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</si>
  <si>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</si>
  <si>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</si>
  <si>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</si>
  <si>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</si>
  <si>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</si>
  <si>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</si>
  <si>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</si>
  <si>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</si>
  <si>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</si>
  <si>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</si>
  <si>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</si>
  <si>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</si>
  <si>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</si>
  <si>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</si>
  <si>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</si>
  <si>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</si>
  <si>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</si>
  <si>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</si>
  <si>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</si>
  <si>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</si>
  <si>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</si>
  <si>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</si>
  <si>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</si>
  <si>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</si>
  <si>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</si>
  <si>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</si>
  <si>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</si>
  <si>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</si>
  <si>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</si>
  <si>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</si>
  <si>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</si>
  <si>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</si>
  <si>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</si>
  <si>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</si>
  <si>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</si>
  <si>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</si>
  <si>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</si>
  <si>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</si>
  <si>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</si>
  <si>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</si>
  <si>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</si>
  <si>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</si>
  <si>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</si>
  <si>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</si>
  <si>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</si>
  <si>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</si>
  <si>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</si>
  <si>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</si>
  <si>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</si>
  <si>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</si>
  <si>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</si>
  <si>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</si>
  <si>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</si>
  <si>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</si>
  <si>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</si>
  <si>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</si>
  <si>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</si>
  <si>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</si>
  <si>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</si>
  <si>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</si>
  <si>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</si>
  <si>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</si>
  <si>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</si>
  <si>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</si>
  <si>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</si>
  <si>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</si>
  <si>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</si>
  <si>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</si>
  <si>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</si>
  <si>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</si>
  <si>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</si>
  <si>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</si>
  <si>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</si>
  <si>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</si>
  <si>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</si>
  <si>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</si>
  <si>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</si>
  <si>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</si>
  <si>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</si>
  <si>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</si>
  <si>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</si>
  <si>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</si>
  <si>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</si>
  <si>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</si>
  <si>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</si>
  <si>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</si>
  <si>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</si>
  <si>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</si>
  <si>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</si>
  <si>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</si>
  <si>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</si>
  <si>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</si>
  <si>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</si>
  <si>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</si>
  <si>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</si>
  <si>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</si>
  <si>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</si>
  <si>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</si>
  <si>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</si>
  <si>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</si>
  <si>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</si>
  <si>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</si>
  <si>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</si>
  <si>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</si>
  <si>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</si>
  <si>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</si>
  <si>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</si>
  <si>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</si>
  <si>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</si>
  <si>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</si>
  <si>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</si>
  <si>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</si>
  <si>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</si>
  <si>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</si>
  <si>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</si>
  <si>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</si>
  <si>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</si>
  <si>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</si>
  <si>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</si>
  <si>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</si>
  <si>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</si>
  <si>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</si>
  <si>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</si>
  <si>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</si>
  <si>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</si>
  <si>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</si>
  <si>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</si>
  <si>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</si>
  <si>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</si>
  <si>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</si>
  <si>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</si>
  <si>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</si>
  <si>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</si>
  <si>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</si>
  <si>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</si>
  <si>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</si>
  <si>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</si>
  <si>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</si>
  <si>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</si>
  <si>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</si>
  <si>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</si>
  <si>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</si>
  <si>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</si>
  <si>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</si>
  <si>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</si>
  <si>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</si>
  <si>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</si>
  <si>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</si>
  <si>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</si>
  <si>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</si>
  <si>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</si>
  <si>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</si>
  <si>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</si>
  <si>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</si>
  <si>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</si>
  <si>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</si>
  <si>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</si>
  <si>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</si>
  <si>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</si>
  <si>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</si>
  <si>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</si>
  <si>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</si>
  <si>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</si>
  <si>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</si>
  <si>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</si>
  <si>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</si>
  <si>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</si>
  <si>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</si>
  <si>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</si>
  <si>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</si>
  <si>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</si>
  <si>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</si>
  <si>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</si>
  <si>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</si>
  <si>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</si>
  <si>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</si>
  <si>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</si>
  <si>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</si>
  <si>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</si>
  <si>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</si>
  <si>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</si>
  <si>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</si>
  <si>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</si>
  <si>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</si>
  <si>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</si>
  <si>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</si>
  <si>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</si>
  <si>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</si>
  <si>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</si>
  <si>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</si>
  <si>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</si>
  <si>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</si>
  <si>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</si>
  <si>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</si>
  <si>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</si>
  <si>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</si>
  <si>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</si>
  <si>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</si>
  <si>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</si>
  <si>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</si>
  <si>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</si>
  <si>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</si>
  <si>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</si>
  <si>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</si>
  <si>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</si>
  <si>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</si>
  <si>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</si>
  <si>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</si>
  <si>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</si>
  <si>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</si>
  <si>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</si>
  <si>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</si>
  <si>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</si>
  <si>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</si>
  <si>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</si>
  <si>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</si>
  <si>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</si>
  <si>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</si>
  <si>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</si>
  <si>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</si>
  <si>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</si>
  <si>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</si>
  <si>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</si>
  <si>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</si>
  <si>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</si>
  <si>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</si>
  <si>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</si>
  <si>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</si>
  <si>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</si>
  <si>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</si>
  <si>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Mbappé</t>
  </si>
  <si>
    <t>Niklas</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</si>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</sst>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0" t="s">
        <v>919</v>
      </c>
      <c r="B1" s="19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2" t="s">
        <v>293</v>
      </c>
      <c r="B1" s="193"/>
      <c r="C1" s="193"/>
      <c r="D1" s="193"/>
      <c r="E1" s="193"/>
      <c r="F1" s="194"/>
      <c r="G1" s="85"/>
      <c r="H1" s="34"/>
      <c r="I1" s="34"/>
      <c r="J1" s="34"/>
    </row>
    <row r="2" spans="1:11" ht="27.95" customHeight="1" x14ac:dyDescent="0.25">
      <c r="A2" s="201" t="s">
        <v>929</v>
      </c>
      <c r="B2" s="201"/>
      <c r="C2" s="201"/>
      <c r="D2" s="201"/>
      <c r="E2" s="201"/>
      <c r="F2" s="201"/>
      <c r="G2" s="201"/>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59</v>
      </c>
      <c r="D7" s="154" t="s">
        <v>61</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99</v>
      </c>
      <c r="D12" s="154" t="s">
        <v>97</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8" t="s">
        <v>922</v>
      </c>
      <c r="C59" s="199"/>
      <c r="D59" s="199"/>
      <c r="E59" s="200"/>
    </row>
    <row r="60" spans="1:7" s="111" customFormat="1" ht="14.25" hidden="1" customHeight="1" x14ac:dyDescent="0.25">
      <c r="A60" s="195" t="s">
        <v>312</v>
      </c>
      <c r="B60" s="196"/>
      <c r="C60" s="196"/>
      <c r="D60" s="197"/>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Paraguay</v>
      </c>
      <c r="D65" s="98" t="str">
        <f t="shared" si="1"/>
        <v>Turkiet</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Senegal</v>
      </c>
      <c r="D70" s="94" t="str">
        <f t="shared" si="1"/>
        <v>Norge</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E26" sqref="E2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2" t="s">
        <v>918</v>
      </c>
      <c r="B1" s="193"/>
      <c r="C1" s="193"/>
      <c r="D1" s="193"/>
      <c r="E1" s="193"/>
      <c r="F1" s="194"/>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97</v>
      </c>
    </row>
    <row r="5" spans="1:6" ht="5.0999999999999996" customHeight="1" x14ac:dyDescent="0.25">
      <c r="A5" s="111"/>
      <c r="B5" s="116"/>
    </row>
    <row r="6" spans="1:6" ht="15.75" thickBot="1" x14ac:dyDescent="0.3">
      <c r="A6" s="116" t="s">
        <v>920</v>
      </c>
      <c r="B6" s="136" t="s">
        <v>75</v>
      </c>
    </row>
    <row r="7" spans="1:6" ht="5.0999999999999996" customHeight="1" x14ac:dyDescent="0.25">
      <c r="A7" s="111"/>
      <c r="B7" s="116"/>
    </row>
    <row r="8" spans="1:6" ht="30.75" thickBot="1" x14ac:dyDescent="0.3">
      <c r="A8" s="116" t="s">
        <v>920</v>
      </c>
      <c r="B8" s="136" t="s">
        <v>69</v>
      </c>
    </row>
    <row r="9" spans="1:6" ht="5.0999999999999996" customHeight="1" x14ac:dyDescent="0.25">
      <c r="A9" s="111"/>
      <c r="B9" s="116"/>
    </row>
    <row r="10" spans="1:6" ht="15.75" thickBot="1" x14ac:dyDescent="0.3">
      <c r="A10" s="116" t="s">
        <v>920</v>
      </c>
      <c r="B10" s="136" t="s">
        <v>53</v>
      </c>
    </row>
    <row r="11" spans="1:6" ht="5.0999999999999996" customHeight="1" x14ac:dyDescent="0.25">
      <c r="A11" s="111"/>
      <c r="B11" s="116"/>
    </row>
    <row r="12" spans="1:6" ht="15.75" thickBot="1" x14ac:dyDescent="0.3">
      <c r="A12" s="116" t="s">
        <v>920</v>
      </c>
      <c r="B12" s="136" t="s">
        <v>102</v>
      </c>
    </row>
    <row r="13" spans="1:6" ht="5.0999999999999996" customHeight="1" x14ac:dyDescent="0.25">
      <c r="A13" s="111"/>
      <c r="B13" s="117"/>
      <c r="C13" s="111"/>
      <c r="D13" s="111"/>
      <c r="E13" s="111"/>
    </row>
    <row r="14" spans="1:6" ht="15.75" thickBot="1" x14ac:dyDescent="0.3">
      <c r="A14" s="116" t="s">
        <v>920</v>
      </c>
      <c r="B14" s="136" t="s">
        <v>61</v>
      </c>
    </row>
    <row r="15" spans="1:6" ht="5.0999999999999996" customHeight="1" x14ac:dyDescent="0.25">
      <c r="B15" s="116"/>
    </row>
    <row r="16" spans="1:6" ht="30.75" thickBot="1" x14ac:dyDescent="0.3">
      <c r="A16" s="116" t="s">
        <v>920</v>
      </c>
      <c r="B16" s="136" t="s">
        <v>35</v>
      </c>
    </row>
    <row r="17" spans="1:12" ht="5.0999999999999996" customHeight="1" x14ac:dyDescent="0.25">
      <c r="B17" s="116"/>
    </row>
    <row r="18" spans="1:12" ht="15.75" thickBot="1" x14ac:dyDescent="0.3">
      <c r="A18" s="116" t="s">
        <v>920</v>
      </c>
      <c r="B18" s="136" t="s">
        <v>24</v>
      </c>
    </row>
    <row r="19" spans="1:12" ht="9" customHeight="1" x14ac:dyDescent="0.25"/>
    <row r="20" spans="1:12" ht="24" customHeight="1" x14ac:dyDescent="0.25">
      <c r="B20" s="198" t="s">
        <v>922</v>
      </c>
      <c r="C20" s="199"/>
      <c r="D20" s="200"/>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L16" zoomScaleNormal="100" workbookViewId="0">
      <selection activeCell="Q19" sqref="Q19"/>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3"/>
      <c r="AF8" s="128"/>
      <c r="AG8" s="119"/>
      <c r="AH8" s="114"/>
      <c r="AI8" s="114"/>
    </row>
    <row r="9" spans="2:35" ht="15.75" customHeight="1" thickBot="1" x14ac:dyDescent="0.3">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65</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Senegal</v>
      </c>
      <c r="AE14" s="203"/>
      <c r="AF14" s="128"/>
      <c r="AG14" s="119"/>
      <c r="AH14" s="114"/>
      <c r="AI14" s="114"/>
    </row>
    <row r="15" spans="2:35" ht="15.75" customHeight="1" thickBot="1" x14ac:dyDescent="0.3">
      <c r="B15" s="129"/>
      <c r="C15" s="114"/>
      <c r="D15" s="114"/>
      <c r="E15" s="114"/>
      <c r="F15" s="114"/>
      <c r="G15" s="114"/>
      <c r="H15" s="114"/>
      <c r="I15" s="203" t="s">
        <v>273</v>
      </c>
      <c r="J15" s="115" t="s">
        <v>95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50</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3"/>
      <c r="AF20" s="128"/>
      <c r="AG20" s="119"/>
      <c r="AH20" s="114"/>
      <c r="AI20" s="114"/>
    </row>
    <row r="21" spans="2:35" ht="15.75" customHeight="1" thickBot="1" x14ac:dyDescent="0.3">
      <c r="B21" s="127"/>
      <c r="E21" s="114"/>
      <c r="F21" s="203" t="s">
        <v>266</v>
      </c>
      <c r="G21" s="115" t="s">
        <v>30</v>
      </c>
      <c r="H21" s="114"/>
      <c r="I21" s="114"/>
      <c r="J21" s="114"/>
      <c r="K21" s="114"/>
      <c r="L21" s="114"/>
      <c r="M21" s="114"/>
      <c r="N21" s="114"/>
      <c r="O21" s="114"/>
      <c r="P21" s="115" t="s">
        <v>95</v>
      </c>
      <c r="R21" s="115" t="s">
        <v>120</v>
      </c>
      <c r="S21" s="114"/>
      <c r="T21" s="114"/>
      <c r="U21" s="114"/>
      <c r="V21" s="114"/>
      <c r="W21" s="114"/>
      <c r="X21" s="114"/>
      <c r="Y21" s="114"/>
      <c r="Z21" s="114"/>
      <c r="AA21" s="115" t="s">
        <v>22</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50</v>
      </c>
      <c r="H23" s="114"/>
      <c r="I23" s="114"/>
      <c r="J23" s="114"/>
      <c r="K23" s="114"/>
      <c r="L23" s="114"/>
      <c r="M23" s="114"/>
      <c r="N23" s="114"/>
      <c r="O23" s="114"/>
      <c r="P23" s="210" t="s">
        <v>318</v>
      </c>
      <c r="Q23" s="210"/>
      <c r="R23" s="210"/>
      <c r="S23" s="114"/>
      <c r="T23" s="114"/>
      <c r="U23" s="114"/>
      <c r="V23" s="114"/>
      <c r="W23" s="114"/>
      <c r="X23" s="114"/>
      <c r="Y23" s="114"/>
      <c r="Z23" s="114"/>
      <c r="AA23" s="115" t="s">
        <v>120</v>
      </c>
      <c r="AB23" s="203"/>
      <c r="AD23" s="114"/>
      <c r="AE23" s="114"/>
      <c r="AF23" s="128"/>
      <c r="AH23" s="114"/>
      <c r="AI23" s="114"/>
    </row>
    <row r="24" spans="2:35" ht="15.75" customHeight="1" thickBot="1" x14ac:dyDescent="0.3">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Marocko</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Norge</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95</v>
      </c>
      <c r="N28" s="114"/>
      <c r="O28" s="114"/>
      <c r="P28" s="114"/>
      <c r="Q28" s="114"/>
      <c r="R28" s="114"/>
      <c r="S28" s="114"/>
      <c r="T28" s="114"/>
      <c r="U28" s="115" t="s">
        <v>120</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114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Kroatien</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91</v>
      </c>
      <c r="R36" s="115" t="s">
        <v>114</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59</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Paraguay</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79</v>
      </c>
      <c r="K43" s="114"/>
      <c r="L43" s="114"/>
      <c r="M43" s="114"/>
      <c r="N43" s="114"/>
      <c r="O43" s="114"/>
      <c r="P43" s="114"/>
      <c r="Q43" s="114"/>
      <c r="R43" s="114"/>
      <c r="S43" s="114"/>
      <c r="T43" s="114"/>
      <c r="U43" s="114"/>
      <c r="V43" s="114"/>
      <c r="W43" s="114"/>
      <c r="X43" s="115" t="s">
        <v>114</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3">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Elfenbenskusten</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G15" sqref="G14:G15"/>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2" t="s">
        <v>925</v>
      </c>
      <c r="B1" s="193"/>
      <c r="C1" s="193"/>
      <c r="D1" s="193"/>
      <c r="E1" s="193"/>
      <c r="F1" s="194"/>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285</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3"/>
      <c r="C1" s="193"/>
      <c r="D1" s="194"/>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topLeftCell="A9"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Paraguay</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Norge</v>
      </c>
      <c r="BF2" t="str" cm="1">
        <f t="array" ref="BF2">IFERROR(INDEX($E$2:$E$13,_xlfn.AGGREGATE(15,6,(ROW($E$2:$E$13)-ROW($E$2)+1)/(($E$2:$E$13&lt;&gt;"")*((COUNTIF($BE$2:$BE$9,$E$2:$E$13)=0)+($E$2:$E$13='2. Bästa grupptreor'!$B$4))),ROWS($BF$2:BF2))),"")</f>
        <v>Iran</v>
      </c>
      <c r="BG2" t="str" cm="1">
        <f t="array" ref="BG2">IFERROR(INDEX($E$2:$E$13,_xlfn.AGGREGATE(15,6,(ROW($E$2:$E$13)-ROW($E$2)+1)/(($E$2:$E$13&lt;&gt;"")*((COUNTIF($BE$2:$BE$9,$E$2:$E$13)=0)+($E$2:$E$13='2. Bästa grupptreor'!$B$6))),ROWS($BG$2:BG2))),"")</f>
        <v>Sverige</v>
      </c>
      <c r="BH2" t="str" cm="1">
        <f t="array" ref="BH2">IFERROR(INDEX($E$2:$E$13,_xlfn.AGGREGATE(15,6,(ROW($E$2:$E$13)-ROW($E$2)+1)/(($E$2:$E$13&lt;&gt;"")*((COUNTIF($BE$2:$BE$9,$E$2:$E$13)=0)+($E$2:$E$13='2. Bästa grupptreor'!$B$8))),ROWS($BH$2:BH2))),"")</f>
        <v>Elfenbenskusten</v>
      </c>
      <c r="BI2" t="str">
        <f>IFERROR(INDEX($E$2:$E$13,_xlfn.AGGREGATE(15,6,(ROW($E$2:$E$13)-ROW($E$2)+1)/(($E$2:$E$13&lt;&gt;"")*((COUNTIF($BE$2:$BE$9,$E$2:$E$13)=0)+($E$2:$E$13='2. Bästa grupptreor'!$B$10))),ROWS($BI$2:BI2))),"")</f>
        <v>Skottland</v>
      </c>
      <c r="BJ2" t="str">
        <f>IFERROR(INDEX($E$2:$E$13,_xlfn.AGGREGATE(15,6,(ROW($E$2:$E$13)-ROW($E$2)+1)/(($E$2:$E$13&lt;&gt;"")*((COUNTIF($BE$2:$BE$9,$E$2:$E$13)=0)+($E$2:$E$13='2. Bästa grupptreor'!$B$12))),ROWS($BJ$2:BJ2))),"")</f>
        <v>Iran</v>
      </c>
      <c r="BK2" t="str" cm="1">
        <f t="array" ref="BK2">IFERROR(INDEX($E$2:$E$13,_xlfn.AGGREGATE(15,6,(ROW($E$2:$E$13)-ROW($E$2)+1)/(($E$2:$E$13&lt;&gt;"")*((COUNTIF($BE$2:$BE$9,$E$2:$E$13)=0)+($E$2:$E$13='2. Bästa grupptreor'!$B$14))),ROWS($BK$2:BK2))),"")</f>
        <v>Turkiet</v>
      </c>
      <c r="BL2" t="str" cm="1">
        <f t="array" ref="BL2">IFERROR(INDEX($E$2:$E$13,_xlfn.AGGREGATE(15,6,(ROW($E$2:$E$13)-ROW($E$2)+1)/(($E$2:$E$13&lt;&gt;"")*((COUNTIF($BE$2:$BE$9,$E$2:$E$13)=0)+($E$2:$E$13='2. Bästa grupptreor'!$B$16))),ROWS($BL$2:BL2))),"")</f>
        <v>Bosnien och Hercegovina</v>
      </c>
      <c r="BM2" t="str" cm="1">
        <f t="array" ref="BM2">IFERROR(INDEX($E$2:$E$13,_xlfn.AGGREGATE(15,6,(ROW($E$2:$E$13)-ROW($E$2)+1)/(($E$2:$E$13&lt;&gt;"")*((COUNTIF($BE$2:$BE$9,$E$2:$E$13)=0)+($E$2:$E$13='2. Bästa grupptreor'!$B$18))),ROWS($BM$2:BM2))),"")</f>
        <v>Tjeckien</v>
      </c>
      <c r="BN2" t="str">
        <f>IF('2. Bästa grupptreor'!B4="","",INDEX('1. Gruppspel'!$A$4:$A$15,MATCH('2. Bästa grupptreor'!B4,'1. Gruppspel'!$D$4:$D$15,0)))</f>
        <v>I</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Turkiet</v>
      </c>
      <c r="W3" s="86" t="str">
        <f>_Listor!$BZ$6</f>
        <v>Sverige</v>
      </c>
      <c r="X3" s="86" t="str">
        <f>_Listor!$BZ$7</f>
        <v>Japan</v>
      </c>
      <c r="Y3" s="86" t="str">
        <f>_Listor!$BZ$8</f>
        <v>Senegal</v>
      </c>
      <c r="Z3" s="86" t="str">
        <f>_Listor!$BZ$9</f>
        <v>Skottland</v>
      </c>
      <c r="AA3" s="86" t="str">
        <f>_Listor!$BZ$10</f>
        <v>Norge</v>
      </c>
      <c r="AB3" s="86" t="str">
        <f>_Listor!$BZ$11</f>
        <v>Kroatien</v>
      </c>
      <c r="AC3" s="86" t="str">
        <f>_Listor!$BZ$12</f>
        <v>Österrike</v>
      </c>
      <c r="AD3" s="86" t="str">
        <f>_Listor!$BZ$13</f>
        <v>Bosnien och Hercegovina</v>
      </c>
      <c r="AE3" s="86" t="str">
        <f>_Listor!$BZ$14</f>
        <v>Tjeckien</v>
      </c>
      <c r="AF3" s="86" t="str">
        <f>_Listor!$BZ$15</f>
        <v>Uruguay</v>
      </c>
      <c r="AG3" s="86" t="str">
        <f>_Listor!$BZ$16</f>
        <v>Egypten</v>
      </c>
      <c r="AH3" s="86" t="str">
        <f>_Listor!$BZ$17</f>
        <v>Algeriet</v>
      </c>
      <c r="AI3" s="86" t="str">
        <f>_Listor!$BZ$18</f>
        <v>Elfenbenskusten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Sverige</v>
      </c>
      <c r="BF3" t="str" cm="1">
        <f t="array" ref="BF3">IFERROR(INDEX($E$2:$E$13,_xlfn.AGGREGATE(15,6,(ROW($E$2:$E$13)-ROW($E$2)+1)/(($E$2:$E$13&lt;&gt;"")*((COUNTIF($BE$2:$BE$9,$E$2:$E$13)=0)+($E$2:$E$13='2. Bästa grupptreor'!$B$4))),ROWS($BF$2:BF3))),"")</f>
        <v>Saudiarabien</v>
      </c>
      <c r="BG3" t="str" cm="1">
        <f t="array" ref="BG3">IFERROR(INDEX($E$2:$E$13,_xlfn.AGGREGATE(15,6,(ROW($E$2:$E$13)-ROW($E$2)+1)/(($E$2:$E$13&lt;&gt;"")*((COUNTIF($BE$2:$BE$9,$E$2:$E$13)=0)+($E$2:$E$13='2. Bästa grupptreor'!$B$6))),ROWS($BG$2:BG3))),"")</f>
        <v>Iran</v>
      </c>
      <c r="BH3" t="str">
        <f>IFERROR(INDEX($E$2:$E$13,_xlfn.AGGREGATE(15,6,(ROW($E$2:$E$13)-ROW($E$2)+1)/(($E$2:$E$13&lt;&gt;"")*((COUNTIF($BE$2:$BE$9,$E$2:$E$13)=0)+($E$2:$E$13='2. Bästa grupptreor'!$B$8))),ROWS($BH$2:BH3))),"")</f>
        <v>Iran</v>
      </c>
      <c r="BI3" t="str">
        <f>IFERROR(INDEX($E$2:$E$13,_xlfn.AGGREGATE(15,6,(ROW($E$2:$E$13)-ROW($E$2)+1)/(($E$2:$E$13&lt;&gt;"")*((COUNTIF($BE$2:$BE$9,$E$2:$E$13)=0)+($E$2:$E$13='2. Bästa grupptreor'!$B$10))),ROWS($BI$2:BI3))),"")</f>
        <v>Iran</v>
      </c>
      <c r="BJ3" t="str">
        <f>IFERROR(INDEX($E$2:$E$13,_xlfn.AGGREGATE(15,6,(ROW($E$2:$E$13)-ROW($E$2)+1)/(($E$2:$E$13&lt;&gt;"")*((COUNTIF($BE$2:$BE$9,$E$2:$E$13)=0)+($E$2:$E$13='2. Bästa grupptreor'!$B$12))),ROWS($BJ$2:BJ3))),"")</f>
        <v>Saudiarabien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F</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Elfenbenskusten</v>
      </c>
      <c r="BF4" t="str" cm="1">
        <f t="array" ref="BF4">IFERROR(INDEX($E$2:$E$13,_xlfn.AGGREGATE(15,6,(ROW($E$2:$E$13)-ROW($E$2)+1)/(($E$2:$E$13&lt;&gt;"")*((COUNTIF($BE$2:$BE$9,$E$2:$E$13)=0)+($E$2:$E$13='2. Bästa grupptreor'!$B$4))),ROWS($BF$2:BF4))),"")</f>
        <v>Norge</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Algeriet</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Saudiarabien</v>
      </c>
      <c r="BN4" t="str">
        <f>IF('2. Bästa grupptreor'!B8="","",INDEX('1. Gruppspel'!$A$4:$A$15,MATCH('2. Bästa grupptreor'!B8,'1. Gruppspel'!$D$4:$D$15,0)))</f>
        <v>E</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Skottland</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C</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Turkiet</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Algeriet</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J</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Turkiet</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D</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Bosnien och Hercegovina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Ecuador</v>
      </c>
      <c r="BZ8" s="144" t="str">
        <f>IF('1. Gruppspel'!$C$12="","",'1. Gruppspel'!$C$12)</f>
        <v>Senegal</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Tjeckien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A</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Norge</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Norge</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Paraguay</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Paraguay</v>
      </c>
      <c r="BV18" s="139" t="s">
        <v>337</v>
      </c>
      <c r="BX18" s="140" t="s">
        <v>264</v>
      </c>
      <c r="BY18" s="141" t="str">
        <f>IF('1. Gruppspel'!$B$14="","",'1. Gruppspel'!$B$14)</f>
        <v>Portugal</v>
      </c>
      <c r="BZ18" s="142" t="str">
        <f>IF(_Listor!$BO$2="","",IFERROR(INDEX('1. Gruppspel'!$D$4:$D$15,MATCH(RIGHT(INDEX('Bilaga 3. AnnexC'!$I$2:$I$496,MATCH(_Listor!$BO$2,'Bilaga 3. AnnexC'!$B$2:$B$496,0)),1),'1. Gruppspel'!$A$4:$A$15,0)),""))</f>
        <v>Elfenbenskusten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Senegal</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AG4" sqref="AG4"/>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4"/>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Niklas</v>
      </c>
      <c r="B3" s="2" t="str">
        <f>'3. Slutspelsträd'!G9</f>
        <v>Tyskland</v>
      </c>
      <c r="C3" s="2" t="str">
        <f>'3. Slutspelsträd'!G11</f>
        <v>Frankrike</v>
      </c>
      <c r="D3" s="2" t="str">
        <f>'3. Slutspelsträd'!G21</f>
        <v>Sydkorea</v>
      </c>
      <c r="E3" s="2" t="str">
        <f>'3. Slutspelsträd'!G23</f>
        <v>Marocko</v>
      </c>
      <c r="F3" s="2" t="str">
        <f>'3. Slutspelsträd'!G35</f>
        <v>Colombia</v>
      </c>
      <c r="G3" s="2" t="str">
        <f>'3. Slutspelsträd'!G37</f>
        <v>Spanien</v>
      </c>
      <c r="H3" s="2" t="str">
        <f>'3. Slutspelsträd'!G47</f>
        <v>USA</v>
      </c>
      <c r="I3" s="2" t="str">
        <f>'3. Slutspelsträd'!G49</f>
        <v>Belgien</v>
      </c>
      <c r="J3" s="2" t="str">
        <f>'3. Slutspelsträd'!AA9</f>
        <v>Brasilien</v>
      </c>
      <c r="K3" s="2" t="str">
        <f>'3. Slutspelsträd'!AA11</f>
        <v>Ecuador</v>
      </c>
      <c r="L3" s="2" t="str">
        <f>'3. Slutspelsträd'!AA21</f>
        <v>Mexiko</v>
      </c>
      <c r="M3" s="2" t="str">
        <f>'3. Slutspelsträd'!AA23</f>
        <v>England</v>
      </c>
      <c r="N3" s="2" t="str">
        <f>'3. Slutspelsträd'!AA35</f>
        <v>Argentina</v>
      </c>
      <c r="O3" s="2" t="str">
        <f>'3. Slutspelsträd'!AA37</f>
        <v>Paraguay</v>
      </c>
      <c r="P3" s="2" t="str">
        <f>'3. Slutspelsträd'!AA47</f>
        <v>Schweiz</v>
      </c>
      <c r="Q3" s="2" t="str">
        <f>'3. Slutspelsträd'!AA49</f>
        <v>Portugal</v>
      </c>
      <c r="R3" s="2" t="str">
        <f>'3. Slutspelsträd'!J15</f>
        <v>Frankrike</v>
      </c>
      <c r="S3" s="2" t="str">
        <f>'3. Slutspelsträd'!J17</f>
        <v>Marocko</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Portugal</v>
      </c>
      <c r="AC3" s="2" t="str">
        <f>'3. Slutspelsträd'!U28</f>
        <v>England</v>
      </c>
      <c r="AD3" s="2" t="str">
        <f>'3. Slutspelsträd'!P21</f>
        <v>Frankrike</v>
      </c>
      <c r="AE3" s="2" t="str">
        <f>'3. Slutspelsträd'!R21</f>
        <v>England</v>
      </c>
      <c r="AF3" s="2" t="str">
        <f>'3. Slutspelsträd'!Q19</f>
        <v>Frankrike</v>
      </c>
      <c r="AG3" s="2" t="str">
        <f>'3. Slutspelsträd'!Q39</f>
        <v>Spanien</v>
      </c>
      <c r="AH3" s="2" t="str">
        <f>'4. Skyttekung och utslagsfråga'!C4</f>
        <v>Mbappé</v>
      </c>
      <c r="AI3" s="2">
        <f>'4. Skyttekung och utslagsfråga'!C6</f>
        <v>285</v>
      </c>
    </row>
    <row r="6" spans="1:35" x14ac:dyDescent="0.25">
      <c r="A6" s="221" t="s">
        <v>909</v>
      </c>
      <c r="B6" s="193"/>
      <c r="C6" s="193"/>
      <c r="D6" s="194"/>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Paraguay</v>
      </c>
      <c r="D11" s="2" t="str">
        <f>'1. Gruppspel'!D65</f>
        <v>Turkiet</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Senegal</v>
      </c>
      <c r="D16" s="2" t="str">
        <f>'1. Gruppspel'!D70</f>
        <v>Norge</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2026-06-10T06:47:20Z</dcterms:modified>
</cp:coreProperties>
</file>