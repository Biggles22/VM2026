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13_ncr:1_{5B3AC8A9-9D0C-4CF7-8068-E9A20DA61005}" xr6:coauthVersionLast="47" xr6:coauthVersionMax="47" xr10:uidLastSave="{00000000-0000-0000-0000-000000000000}"/>
  <bookViews>
    <workbookView xWindow="-25905" yWindow="225"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<sst xmlns="http://schemas.openxmlformats.org/spreadsheetml/2006/main" count="6076" uniqueCount="933">
  <si>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</si>
  <si>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</si>
  <si>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</si>
  <si>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</si>
  <si>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</si>
  <si>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</si>
  <si>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</si>
  <si>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</si>
  <si>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</si>
  <si>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</si>
  <si>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</si>
  <si>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</si>
  <si>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</si>
  <si>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</si>
  <si>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</si>
  <si>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</si>
  <si>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</si>
  <si>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</si>
  <si>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</si>
  <si>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</si>
  <si>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</si>
  <si>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</si>
  <si>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</si>
  <si>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</si>
  <si>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</si>
  <si>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</si>
  <si>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</si>
  <si>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</si>
  <si>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</si>
  <si>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</si>
  <si>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</si>
  <si>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</si>
  <si>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</si>
  <si>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</si>
  <si>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</si>
  <si>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</si>
  <si>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</si>
  <si>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</si>
  <si>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</si>
  <si>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</si>
  <si>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</si>
  <si>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</si>
  <si>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</si>
  <si>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</si>
  <si>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</si>
  <si>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</si>
  <si>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</si>
  <si>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</si>
  <si>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</si>
  <si>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</si>
  <si>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</si>
  <si>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</si>
  <si>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</si>
  <si>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</si>
  <si>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</si>
  <si>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</si>
  <si>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</si>
  <si>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</si>
  <si>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</si>
  <si>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</si>
  <si>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</si>
  <si>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</si>
  <si>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</si>
  <si>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</si>
  <si>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</si>
  <si>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</si>
  <si>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</si>
  <si>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</si>
  <si>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</si>
  <si>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</si>
  <si>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</si>
  <si>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</si>
  <si>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</si>
  <si>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</si>
  <si>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</si>
  <si>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</si>
  <si>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</si>
  <si>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</si>
  <si>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</si>
  <si>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</si>
  <si>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</si>
  <si>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</si>
  <si>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</si>
  <si>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</si>
  <si>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</si>
  <si>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</si>
  <si>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</si>
  <si>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</si>
  <si>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</si>
  <si>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</si>
  <si>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</si>
  <si>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</si>
  <si>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</si>
  <si>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</si>
  <si>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</si>
  <si>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</si>
  <si>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</si>
  <si>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</si>
  <si>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</si>
  <si>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</si>
  <si>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</si>
  <si>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</si>
  <si>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</si>
  <si>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</si>
  <si>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</si>
  <si>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</si>
  <si>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</si>
  <si>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</si>
  <si>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</si>
  <si>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</si>
  <si>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</si>
  <si>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</si>
  <si>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</si>
  <si>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</si>
  <si>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</si>
  <si>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</si>
  <si>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</si>
  <si>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</si>
  <si>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</si>
  <si>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</si>
  <si>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</si>
  <si>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</si>
  <si>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</si>
  <si>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</si>
  <si>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</si>
  <si>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</si>
  <si>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</si>
  <si>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</si>
  <si>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</si>
  <si>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</si>
  <si>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</si>
  <si>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</si>
  <si>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</si>
  <si>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</si>
  <si>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</si>
  <si>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</si>
  <si>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</si>
  <si>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</si>
  <si>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</si>
  <si>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</si>
  <si>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</si>
  <si>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</si>
  <si>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</si>
  <si>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</si>
  <si>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</si>
  <si>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</si>
  <si>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</si>
  <si>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</si>
  <si>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</si>
  <si>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</si>
  <si>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</si>
  <si>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</si>
  <si>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</si>
  <si>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</si>
  <si>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</si>
  <si>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</si>
  <si>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</si>
  <si>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</si>
  <si>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</si>
  <si>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</si>
  <si>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</si>
  <si>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</si>
  <si>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</si>
  <si>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</si>
  <si>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</si>
  <si>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</si>
  <si>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</si>
  <si>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</si>
  <si>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</si>
  <si>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</si>
  <si>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</si>
  <si>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</si>
  <si>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</si>
  <si>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</si>
  <si>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</si>
  <si>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</si>
  <si>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</si>
  <si>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</si>
  <si>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</si>
  <si>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</si>
  <si>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</si>
  <si>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</si>
  <si>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</si>
  <si>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</si>
  <si>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</si>
  <si>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</si>
  <si>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</si>
  <si>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</si>
  <si>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</si>
  <si>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</si>
  <si>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</si>
  <si>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</si>
  <si>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</si>
  <si>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</si>
  <si>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</si>
  <si>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</si>
  <si>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</si>
  <si>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</si>
  <si>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</si>
  <si>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</si>
  <si>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</si>
  <si>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</si>
  <si>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</si>
  <si>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</si>
  <si>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</si>
  <si>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</si>
  <si>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</si>
  <si>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</si>
  <si>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</si>
  <si>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</si>
  <si>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</si>
  <si>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</si>
  <si>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</si>
  <si>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</si>
  <si>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</si>
  <si>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</si>
  <si>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</si>
  <si>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</si>
  <si>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</si>
  <si>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</si>
  <si>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</si>
  <si>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</si>
  <si>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</si>
  <si>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</si>
  <si>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</si>
  <si>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</si>
  <si>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</si>
  <si>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</si>
  <si>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</si>
  <si>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</si>
  <si>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</si>
  <si>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</si>
  <si>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</si>
  <si>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</si>
  <si>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</si>
  <si>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</si>
  <si>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</si>
  <si>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</si>
  <si>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</si>
  <si>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</si>
  <si>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</si>
  <si>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</si>
  <si>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</si>
  <si>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</si>
  <si>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</si>
  <si>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</si>
  <si>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</si>
  <si>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</si>
  <si>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</si>
  <si>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</si>
  <si>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</si>
  <si>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</si>
  <si>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</si>
  <si>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</si>
  <si>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</si>
  <si>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</si>
  <si>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</si>
  <si>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</si>
  <si>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</si>
  <si>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</si>
  <si>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</si>
  <si>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</si>
  <si>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</si>
  <si>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</si>
  <si>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</si>
  <si>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</si>
  <si>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</si>
  <si>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</si>
  <si>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</si>
  <si>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</si>
  <si>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</si>
  <si>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</si>
  <si>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</si>
  <si>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</si>
  <si>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</si>
  <si>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</si>
  <si>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</si>
  <si>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</si>
  <si>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</si>
  <si>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</si>
  <si>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</si>
  <si>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</si>
  <si>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</si>
  <si>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</si>
  <si>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</si>
  <si>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</si>
  <si>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</si>
  <si>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</si>
  <si>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</si>
  <si>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</si>
  <si>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</si>
  <si>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</si>
  <si>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</si>
  <si>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</si>
  <si>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</si>
  <si>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</si>
  <si>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</si>
  <si>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</si>
  <si>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</si>
  <si>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</si>
  <si>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</si>
  <si>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</si>
  <si>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</si>
  <si>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</si>
  <si>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</si>
  <si>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</si>
  <si>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</si>
  <si>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</si>
  <si>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</si>
  <si>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</si>
  <si>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</si>
  <si>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</si>
  <si>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</si>
  <si>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</si>
  <si>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</si>
  <si>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</si>
  <si>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</si>
  <si>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</si>
  <si>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</si>
  <si>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</si>
  <si>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</si>
  <si>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</si>
  <si>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</si>
  <si>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</si>
  <si>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</si>
  <si>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</si>
  <si>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</si>
  <si>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</si>
  <si>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</si>
  <si>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</si>
  <si>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</si>
  <si>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</si>
  <si>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</si>
  <si>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</si>
  <si>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</si>
  <si>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</si>
  <si>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</si>
  <si>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</si>
  <si>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</si>
  <si>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</si>
  <si>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</si>
  <si>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</si>
  <si>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</si>
  <si>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</si>
  <si>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</si>
  <si>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</si>
  <si>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</si>
  <si>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</si>
  <si>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</si>
  <si>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</si>
  <si>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</si>
  <si>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</si>
  <si>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</si>
  <si>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</si>
  <si>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</si>
  <si>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</si>
  <si>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</si>
  <si>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</si>
  <si>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</si>
  <si>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</si>
  <si>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</si>
  <si>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</si>
  <si>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</si>
  <si>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</si>
  <si>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</si>
  <si>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</si>
  <si>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</si>
  <si>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</si>
  <si>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</si>
  <si>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</si>
  <si>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</si>
  <si>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</si>
  <si>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</si>
  <si>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</si>
  <si>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</si>
  <si>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</si>
  <si>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</si>
  <si>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</si>
  <si>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</si>
  <si>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</si>
  <si>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</si>
  <si>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</si>
  <si>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</si>
  <si>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</si>
  <si>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</si>
  <si>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</si>
  <si>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</si>
  <si>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</si>
  <si>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</si>
  <si>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</si>
  <si>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</si>
  <si>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</si>
  <si>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</si>
  <si>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</si>
  <si>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</si>
  <si>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</si>
  <si>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</si>
  <si>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</si>
  <si>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</si>
  <si>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</si>
  <si>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</si>
  <si>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</si>
  <si>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</si>
  <si>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</si>
  <si>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</si>
  <si>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</si>
  <si>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</si>
  <si>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</si>
  <si>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</si>
  <si>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</si>
  <si>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</si>
  <si>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</si>
  <si>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</si>
  <si>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</si>
  <si>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</si>
  <si>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</si>
  <si>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</si>
  <si>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</si>
  <si>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</si>
  <si>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</si>
  <si>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</si>
  <si>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</si>
  <si>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</si>
  <si>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</si>
  <si>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</si>
  <si>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</si>
  <si>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</si>
  <si>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</si>
  <si>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</si>
  <si>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</si>
  <si>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</si>
  <si>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</si>
  <si>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</si>
  <si>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</si>
  <si>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</si>
  <si>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</si>
  <si>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</si>
  <si>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</si>
  <si>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</si>
  <si>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</si>
  <si>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</si>
  <si>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</si>
  <si>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</si>
  <si>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</si>
  <si>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</si>
  <si>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</si>
  <si>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</si>
  <si>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</si>
  <si>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</si>
  <si>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</si>
  <si>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</si>
  <si>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</si>
  <si>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</si>
  <si>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</si>
  <si>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</si>
  <si>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</si>
  <si>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</si>
  <si>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</si>
  <si>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</si>
  <si>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</si>
  <si>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</si>
  <si>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</si>
  <si>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</si>
  <si>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</si>
  <si>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</si>
  <si>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</si>
  <si>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</si>
  <si>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</si>
  <si>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</si>
  <si>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</si>
  <si>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</si>
  <si>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</si>
  <si>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</si>
  <si>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</si>
  <si>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</si>
  <si>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</si>
  <si>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</si>
  <si>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</si>
  <si>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</si>
  <si>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</si>
  <si>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</si>
  <si>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</si>
  <si>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</si>
  <si>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</si>
  <si>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</si>
  <si>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</si>
  <si>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</si>
  <si>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</si>
  <si>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</si>
  <si>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</si>
  <si>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</si>
  <si>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</si>
  <si>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</si>
  <si>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</si>
  <si>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</si>
  <si>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</si>
  <si>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</si>
  <si>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</si>
  <si>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</si>
  <si>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</si>
  <si>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</si>
  <si>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</si>
  <si>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</si>
  <si>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</si>
  <si>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</si>
  <si>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</si>
  <si>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</si>
  <si>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</si>
  <si>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</si>
  <si>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</si>
  <si>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</si>
  <si>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</si>
  <si>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</si>
  <si>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</si>
  <si>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</si>
  <si>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</si>
  <si>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</si>
  <si>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</si>
  <si>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</si>
  <si>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</si>
  <si>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</si>
  <si>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</si>
  <si>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</si>
  <si>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</si>
  <si>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</si>
  <si>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</si>
  <si>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</si>
  <si>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</si>
  <si>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</si>
  <si>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</si>
  <si>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</si>
  <si>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</si>
  <si>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</si>
  <si>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</si>
  <si>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</si>
  <si>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</si>
  <si>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</si>
  <si>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</si>
  <si>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</si>
  <si>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</si>
  <si>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</si>
  <si>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</si>
  <si>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</si>
  <si>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</si>
  <si>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</si>
  <si>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</si>
  <si>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</si>
  <si>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</si>
  <si>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</si>
  <si>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</si>
  <si>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</si>
  <si>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</si>
  <si>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</si>
  <si>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</si>
  <si>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</si>
  <si>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</si>
  <si>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</si>
  <si>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</si>
  <si>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</si>
  <si>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</si>
  <si>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</si>
  <si>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</si>
  <si>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</si>
  <si>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</si>
  <si>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</si>
  <si>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</si>
  <si>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</si>
  <si>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</si>
  <si>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</si>
  <si>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</si>
  <si>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</si>
  <si>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</si>
  <si>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</si>
  <si>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</si>
  <si>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</si>
  <si>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</si>
  <si>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</si>
  <si>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</si>
  <si>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</si>
  <si>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</si>
  <si>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</si>
  <si>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</si>
  <si>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</si>
  <si>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</si>
  <si>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</si>
  <si>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</si>
  <si>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</si>
  <si>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</si>
  <si>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</si>
  <si>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</si>
  <si>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</si>
  <si>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</si>
  <si>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</si>
  <si>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</si>
  <si>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</si>
  <si>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</si>
  <si>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</si>
  <si>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</si>
  <si>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</si>
  <si>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</si>
  <si>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</si>
  <si>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</si>
  <si>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</si>
  <si>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</si>
  <si>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</si>
  <si>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</si>
  <si>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</si>
  <si>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</si>
  <si>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</si>
  <si>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</si>
  <si>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</si>
  <si>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</si>
  <si>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</si>
  <si>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</si>
  <si>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</si>
  <si>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</si>
  <si>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</si>
  <si>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</si>
  <si>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</si>
  <si>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</si>
  <si>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</si>
  <si>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</si>
  <si>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</si>
  <si>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</si>
  <si>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</si>
  <si>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</si>
  <si>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</si>
  <si>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</si>
  <si>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</si>
  <si>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</si>
  <si>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</si>
  <si>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</si>
  <si>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</si>
  <si>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</si>
  <si>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</si>
  <si>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</si>
  <si>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</si>
  <si>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</si>
  <si>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</si>
  <si>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</si>
  <si>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</si>
  <si>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</si>
  <si>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</si>
  <si>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</si>
  <si>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</si>
  <si>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</si>
  <si>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</si>
  <si>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</si>
  <si>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</si>
  <si>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</si>
  <si>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</si>
  <si>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</si>
  <si>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</si>
  <si>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</si>
  <si>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</si>
  <si>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</si>
  <si>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</si>
  <si>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</si>
  <si>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</si>
  <si>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</si>
  <si>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</si>
  <si>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</si>
  <si>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</si>
  <si>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</si>
  <si>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</si>
  <si>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</si>
  <si>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</si>
  <si>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</si>
  <si>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</si>
  <si>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</si>
  <si>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</si>
  <si>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</si>
  <si>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</si>
  <si>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</si>
  <si>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</si>
  <si>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</si>
  <si>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</si>
  <si>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</si>
  <si>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</si>
  <si>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</si>
  <si>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</si>
  <si>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</si>
  <si>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</si>
  <si>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</si>
  <si>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</si>
  <si>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</si>
  <si>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</si>
  <si>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</si>
  <si>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</si>
  <si>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</si>
  <si>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</si>
  <si>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</si>
  <si>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</si>
  <si>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</si>
  <si>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</si>
  <si>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</si>
  <si>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</si>
  <si>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</si>
  <si>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</si>
  <si>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</si>
  <si>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</si>
  <si>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</si>
  <si>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</si>
  <si>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</si>
  <si>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</si>
  <si>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</si>
  <si>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</si>
  <si>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</si>
  <si>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</si>
  <si>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</si>
  <si>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</si>
  <si>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</si>
  <si>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</si>
  <si>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</si>
  <si>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</si>
  <si>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</si>
  <si>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</si>
  <si>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</si>
  <si>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</si>
  <si>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</si>
  <si>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</si>
  <si>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</si>
  <si>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</si>
  <si>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</si>
  <si>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</si>
  <si>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</si>
  <si>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</si>
  <si>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</si>
  <si>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</si>
  <si>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</si>
  <si>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</si>
  <si>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</si>
  <si>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</si>
  <si>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</si>
  <si>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</si>
  <si>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</si>
  <si>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</si>
  <si>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</si>
  <si>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</si>
  <si>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</si>
  <si>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</si>
  <si>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</si>
  <si>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</si>
  <si>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</si>
  <si>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</si>
  <si>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</si>
  <si>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</si>
  <si>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</si>
  <si>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</si>
  <si>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</si>
  <si>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</si>
  <si>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</si>
  <si>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</si>
  <si>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</si>
  <si>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</si>
  <si>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</si>
  <si>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</si>
  <si>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</si>
  <si>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</si>
  <si>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</si>
  <si>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</si>
  <si>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</si>
  <si>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</si>
  <si>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</si>
  <si>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</si>
  <si>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</si>
  <si>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</si>
  <si>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</si>
  <si>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</si>
  <si>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</si>
  <si>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</si>
  <si>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</si>
  <si>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</si>
  <si>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</si>
  <si>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</si>
  <si>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</si>
  <si>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</si>
  <si>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</si>
  <si>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</si>
  <si>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</si>
  <si>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</si>
  <si>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</si>
  <si>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</si>
  <si>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</si>
  <si>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</si>
  <si>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</si>
  <si>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</si>
  <si>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</si>
  <si>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</si>
  <si>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</si>
  <si>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</si>
  <si>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</si>
  <si>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</si>
  <si>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</si>
  <si>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</si>
  <si>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</si>
  <si>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</si>
  <si>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</si>
  <si>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</si>
  <si>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</si>
  <si>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</si>
  <si>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</si>
  <si>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</si>
  <si>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</si>
  <si>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</si>
  <si>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</si>
  <si>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</si>
  <si>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</si>
  <si>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</si>
  <si>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</si>
  <si>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</si>
  <si>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</si>
  <si>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</si>
  <si>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</si>
  <si>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</si>
  <si>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</si>
  <si>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</si>
  <si>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</si>
  <si>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</si>
  <si>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</si>
  <si>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</si>
  <si>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</si>
  <si>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</si>
  <si>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</si>
  <si>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</si>
  <si>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</si>
  <si>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</si>
  <si>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</si>
  <si>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</si>
  <si>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</si>
  <si>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</si>
  <si>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</si>
  <si>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</si>
  <si>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</si>
  <si>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</si>
  <si>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</si>
  <si>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</si>
  <si>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</si>
  <si>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</si>
  <si>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</si>
  <si>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</si>
  <si>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</si>
  <si>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</si>
  <si>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</si>
  <si>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</si>
  <si>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</si>
  <si>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</si>
  <si>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</si>
  <si>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</si>
  <si>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</si>
  <si>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</si>
  <si>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</si>
  <si>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</si>
  <si>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</si>
  <si>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</si>
  <si>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</si>
  <si>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</si>
  <si>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</si>
  <si>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</si>
  <si>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</si>
  <si>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</si>
  <si>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</si>
  <si>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</si>
  <si>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</si>
  <si>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</si>
  <si>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</si>
  <si>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</si>
  <si>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</si>
  <si>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</si>
  <si>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</si>
  <si>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</si>
  <si>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</si>
  <si>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</si>
  <si>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</si>
  <si>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</si>
  <si>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</si>
  <si>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</si>
  <si>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</si>
  <si>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</si>
  <si>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</si>
  <si>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</si>
  <si>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</si>
  <si>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</si>
  <si>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</si>
  <si>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</si>
  <si>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</si>
  <si>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</si>
  <si>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</si>
  <si>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</si>
  <si>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</si>
  <si>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</si>
  <si>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</si>
  <si>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</si>
  <si>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</si>
  <si>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</si>
  <si>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</si>
  <si>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</si>
  <si>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</si>
  <si>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</si>
  <si>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</si>
  <si>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</si>
  <si>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</si>
  <si>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</si>
  <si>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</si>
  <si>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</si>
  <si>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</si>
  <si>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</si>
  <si>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</si>
  <si>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</si>
  <si>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</si>
  <si>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</si>
  <si>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</si>
  <si>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</si>
  <si>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</si>
  <si>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</si>
  <si>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</si>
  <si>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</si>
  <si>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</si>
  <si>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</si>
  <si>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</si>
  <si>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</si>
  <si>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</si>
  <si>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</si>
  <si>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</si>
  <si>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</si>
  <si>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</si>
  <si>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</si>
  <si>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</si>
  <si>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</si>
  <si>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</si>
  <si>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Kylian Mbappë</t>
  </si>
  <si>
    <t>Andreas</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</si>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</sst>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sqref="A1:B1"/>
    </sheetView>
  </sheetViews>
  <sheetFormatPr defaultRowHeight="15" x14ac:dyDescent="0.25"/>
  <cols>
    <col min="1" max="1" width="14.28515625" bestFit="1" customWidth="1"/>
    <col min="2" max="2" width="201.85546875" customWidth="1"/>
  </cols>
  <sheetData>
    <row r="1" spans="1:6" ht="27.75" customHeight="1" x14ac:dyDescent="0.25">
      <c r="A1" s="190" t="s">
        <v>919</v>
      </c>
      <c r="B1" s="191"/>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931</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workbookViewId="0">
      <selection sqref="A1:F1"/>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2" t="s">
        <v>293</v>
      </c>
      <c r="B1" s="193"/>
      <c r="C1" s="193"/>
      <c r="D1" s="193"/>
      <c r="E1" s="193"/>
      <c r="F1" s="194"/>
      <c r="G1" s="85"/>
      <c r="H1" s="34"/>
      <c r="I1" s="34"/>
      <c r="J1" s="34"/>
    </row>
    <row r="2" spans="1:11" ht="27.95" customHeight="1" x14ac:dyDescent="0.25">
      <c r="A2" s="201" t="s">
        <v>929</v>
      </c>
      <c r="B2" s="201"/>
      <c r="C2" s="201"/>
      <c r="D2" s="201"/>
      <c r="E2" s="201"/>
      <c r="F2" s="201"/>
      <c r="G2" s="201"/>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24</v>
      </c>
      <c r="D4" s="154" t="s">
        <v>30</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32</v>
      </c>
      <c r="D5" s="154" t="s">
        <v>35</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61</v>
      </c>
      <c r="C7" s="154" t="s">
        <v>56</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69</v>
      </c>
      <c r="D8" s="154" t="s">
        <v>65</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73</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112</v>
      </c>
      <c r="E14" s="155" t="str">
        <f>IF(COUNTBLANK(B14:D14)&gt;0,"",IF(COUNTIF(B14:D14,"Colombia")=0,"Colombia",IF(COUNTIF(B14:D14,"DR Kongo")=0,"DR Kongo",IF(COUNTIF(B14:D14,"Portugal")=0,"Portugal",IF(COUNTIF(B14:D14,"Uzbekistan")=0,"Uzbekistan","")))))</f>
        <v>Uzbekistan</v>
      </c>
      <c r="F14" s="156" t="str">
        <f t="shared" si="0"/>
        <v>OK</v>
      </c>
      <c r="G14" s="163" t="s">
        <v>310</v>
      </c>
      <c r="H14" s="84"/>
      <c r="I14" s="84"/>
      <c r="J14" s="84"/>
      <c r="K14" s="84"/>
    </row>
    <row r="15" spans="1:11" x14ac:dyDescent="0.25">
      <c r="A15" s="174" t="s">
        <v>55</v>
      </c>
      <c r="B15" s="154" t="s">
        <v>120</v>
      </c>
      <c r="C15" s="154" t="s">
        <v>118</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8" t="s">
        <v>922</v>
      </c>
      <c r="C59" s="199"/>
      <c r="D59" s="199"/>
      <c r="E59" s="200"/>
    </row>
    <row r="60" spans="1:7" s="111" customFormat="1" ht="14.25" hidden="1" customHeight="1" x14ac:dyDescent="0.25">
      <c r="A60" s="195" t="s">
        <v>312</v>
      </c>
      <c r="B60" s="196"/>
      <c r="C60" s="196"/>
      <c r="D60" s="197"/>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Tjeckien</v>
      </c>
      <c r="D62" s="92" t="str">
        <f t="shared" si="1"/>
        <v>Sydkorea</v>
      </c>
      <c r="G62" s="121"/>
    </row>
    <row r="63" spans="1:7" s="111" customFormat="1" ht="14.25" hidden="1" customHeight="1" x14ac:dyDescent="0.25">
      <c r="A63" s="95" t="s">
        <v>26</v>
      </c>
      <c r="B63" s="94" t="str">
        <f t="shared" si="1"/>
        <v>Schweiz</v>
      </c>
      <c r="C63" s="94" t="str">
        <f t="shared" si="1"/>
        <v>Kanada</v>
      </c>
      <c r="D63" s="94" t="str">
        <f t="shared" si="1"/>
        <v>Bosnien och Hercegovina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Turkiet</v>
      </c>
      <c r="C65" s="98" t="str">
        <f t="shared" si="1"/>
        <v>USA</v>
      </c>
      <c r="D65" s="98" t="str">
        <f t="shared" si="1"/>
        <v>Paraguay</v>
      </c>
    </row>
    <row r="66" spans="1:6" s="111" customFormat="1" ht="14.25" hidden="1" customHeight="1" x14ac:dyDescent="0.25">
      <c r="A66" s="101" t="s">
        <v>34</v>
      </c>
      <c r="B66" s="100" t="str">
        <f t="shared" si="1"/>
        <v>Tyskland</v>
      </c>
      <c r="C66" s="100" t="str">
        <f t="shared" si="1"/>
        <v>Elfenbenskusten</v>
      </c>
      <c r="D66" s="100" t="str">
        <f t="shared" si="1"/>
        <v>Ecuador</v>
      </c>
    </row>
    <row r="67" spans="1:6" s="111" customFormat="1" ht="14.25" hidden="1" customHeight="1" x14ac:dyDescent="0.25">
      <c r="A67" s="103" t="s">
        <v>37</v>
      </c>
      <c r="B67" s="102" t="str">
        <f t="shared" si="1"/>
        <v>Nederländerna</v>
      </c>
      <c r="C67" s="102" t="str">
        <f t="shared" si="1"/>
        <v>Japan</v>
      </c>
      <c r="D67" s="102" t="str">
        <f t="shared" si="1"/>
        <v>Sverige</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Portugal</v>
      </c>
      <c r="C72" s="98" t="str">
        <f t="shared" si="1"/>
        <v>Colombia</v>
      </c>
      <c r="D72" s="98" t="str">
        <f t="shared" si="1"/>
        <v>DR Kongo</v>
      </c>
    </row>
    <row r="73" spans="1:6" s="111" customFormat="1" ht="3" hidden="1" customHeight="1" x14ac:dyDescent="0.25">
      <c r="A73" s="110" t="s">
        <v>55</v>
      </c>
      <c r="B73" s="100" t="str">
        <f t="shared" si="1"/>
        <v>England</v>
      </c>
      <c r="C73" s="100" t="str">
        <f t="shared" si="1"/>
        <v>Kroatien</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sqref="A1:F1"/>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2" t="s">
        <v>918</v>
      </c>
      <c r="B1" s="193"/>
      <c r="C1" s="193"/>
      <c r="D1" s="193"/>
      <c r="E1" s="193"/>
      <c r="F1" s="194"/>
    </row>
    <row r="2" spans="1:6" ht="30" customHeight="1" x14ac:dyDescent="0.25">
      <c r="A2" s="202" t="s">
        <v>923</v>
      </c>
      <c r="B2" s="202"/>
      <c r="C2" s="202"/>
      <c r="D2" s="202"/>
      <c r="E2" s="202"/>
      <c r="F2" s="202"/>
    </row>
    <row r="3" spans="1:6" ht="5.0999999999999996" customHeight="1" x14ac:dyDescent="0.25"/>
    <row r="4" spans="1:6" ht="15.75" thickBot="1" x14ac:dyDescent="0.3">
      <c r="A4" s="116" t="s">
        <v>920</v>
      </c>
      <c r="B4" s="136" t="s">
        <v>65</v>
      </c>
    </row>
    <row r="5" spans="1:6" ht="5.0999999999999996" customHeight="1" x14ac:dyDescent="0.25">
      <c r="A5" s="111"/>
      <c r="B5" s="116"/>
    </row>
    <row r="6" spans="1:6" ht="15.75" thickBot="1" x14ac:dyDescent="0.3">
      <c r="A6" s="116" t="s">
        <v>920</v>
      </c>
      <c r="B6" s="136" t="s">
        <v>99</v>
      </c>
    </row>
    <row r="7" spans="1:6" ht="5.0999999999999996" customHeight="1" x14ac:dyDescent="0.25">
      <c r="A7" s="111"/>
      <c r="B7" s="116"/>
    </row>
    <row r="8" spans="1:6" ht="15.75" thickBot="1" x14ac:dyDescent="0.3">
      <c r="A8" s="116" t="s">
        <v>920</v>
      </c>
      <c r="B8" s="136" t="s">
        <v>53</v>
      </c>
    </row>
    <row r="9" spans="1:6" ht="5.0999999999999996" customHeight="1" x14ac:dyDescent="0.25">
      <c r="A9" s="111"/>
      <c r="B9" s="116"/>
    </row>
    <row r="10" spans="1:6" ht="15.75" thickBot="1" x14ac:dyDescent="0.3">
      <c r="A10" s="116" t="s">
        <v>920</v>
      </c>
      <c r="B10" s="136" t="s">
        <v>30</v>
      </c>
    </row>
    <row r="11" spans="1:6" ht="5.0999999999999996" customHeight="1" x14ac:dyDescent="0.25">
      <c r="A11" s="111"/>
      <c r="B11" s="116"/>
    </row>
    <row r="12" spans="1:6" ht="15.75" thickBot="1" x14ac:dyDescent="0.3">
      <c r="A12" s="116" t="s">
        <v>920</v>
      </c>
      <c r="B12" s="136" t="s">
        <v>75</v>
      </c>
    </row>
    <row r="13" spans="1:6" ht="5.0999999999999996" customHeight="1" x14ac:dyDescent="0.25">
      <c r="A13" s="111"/>
      <c r="B13" s="117"/>
      <c r="C13" s="111"/>
      <c r="D13" s="111"/>
      <c r="E13" s="111"/>
    </row>
    <row r="14" spans="1:6" ht="15.75" thickBot="1" x14ac:dyDescent="0.3">
      <c r="A14" s="116" t="s">
        <v>920</v>
      </c>
      <c r="B14" s="136" t="s">
        <v>59</v>
      </c>
    </row>
    <row r="15" spans="1:6" ht="5.0999999999999996" customHeight="1" x14ac:dyDescent="0.25">
      <c r="B15" s="116"/>
    </row>
    <row r="16" spans="1:6" ht="30.75" thickBot="1" x14ac:dyDescent="0.3">
      <c r="A16" s="116" t="s">
        <v>920</v>
      </c>
      <c r="B16" s="136" t="s">
        <v>35</v>
      </c>
    </row>
    <row r="17" spans="1:12" ht="5.0999999999999996" customHeight="1" x14ac:dyDescent="0.25">
      <c r="B17" s="116"/>
    </row>
    <row r="18" spans="1:12" ht="15.75" thickBot="1" x14ac:dyDescent="0.3">
      <c r="A18" s="116" t="s">
        <v>920</v>
      </c>
      <c r="B18" s="136" t="s">
        <v>102</v>
      </c>
    </row>
    <row r="19" spans="1:12" ht="9" customHeight="1" x14ac:dyDescent="0.25"/>
    <row r="20" spans="1:12" ht="24" customHeight="1" x14ac:dyDescent="0.25">
      <c r="B20" s="198" t="s">
        <v>922</v>
      </c>
      <c r="C20" s="199"/>
      <c r="D20" s="200"/>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zoomScaleNormal="100" workbookViewId="0">
      <selection activeCell="C4" sqref="C4:E4"/>
    </sheetView>
  </sheetViews>
  <sheetFormatPr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6" t="s">
        <v>353</v>
      </c>
      <c r="P3" s="207"/>
      <c r="Q3" s="207"/>
      <c r="R3" s="207"/>
      <c r="S3" s="208"/>
      <c r="AF3" s="128"/>
    </row>
    <row r="4" spans="2:35" ht="21.75" thickBot="1" x14ac:dyDescent="0.4">
      <c r="B4" s="127"/>
      <c r="C4" s="203" t="s">
        <v>914</v>
      </c>
      <c r="D4" s="203"/>
      <c r="E4" s="203"/>
      <c r="O4" s="209"/>
      <c r="P4" s="210"/>
      <c r="Q4" s="210"/>
      <c r="R4" s="210"/>
      <c r="S4" s="211"/>
      <c r="AC4" s="203" t="s">
        <v>914</v>
      </c>
      <c r="AD4" s="203"/>
      <c r="AE4" s="203"/>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05"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4" t="s">
        <v>253</v>
      </c>
      <c r="AF6" s="128"/>
      <c r="AG6" s="119"/>
      <c r="AH6" s="114"/>
      <c r="AI6" s="114"/>
    </row>
    <row r="7" spans="2:35" ht="21.75" thickBot="1" x14ac:dyDescent="0.4">
      <c r="B7" s="127"/>
      <c r="C7" s="205"/>
      <c r="E7" s="114"/>
      <c r="F7" s="203" t="s">
        <v>913</v>
      </c>
      <c r="G7" s="203"/>
      <c r="H7" s="203"/>
      <c r="I7" s="114"/>
      <c r="J7" s="114"/>
      <c r="K7" s="114"/>
      <c r="L7" s="114"/>
      <c r="M7" s="114"/>
      <c r="N7" s="114"/>
      <c r="O7" s="114"/>
      <c r="P7" s="114"/>
      <c r="Q7" s="114"/>
      <c r="R7" s="114"/>
      <c r="S7" s="114"/>
      <c r="T7" s="114"/>
      <c r="U7" s="114"/>
      <c r="V7" s="114"/>
      <c r="W7" s="114"/>
      <c r="X7" s="114"/>
      <c r="Y7" s="114"/>
      <c r="Z7" s="203" t="s">
        <v>913</v>
      </c>
      <c r="AA7" s="203"/>
      <c r="AB7" s="203"/>
      <c r="AC7" s="114"/>
      <c r="AE7" s="204"/>
      <c r="AF7" s="128"/>
      <c r="AG7" s="119"/>
      <c r="AH7" s="114"/>
      <c r="AI7" s="114"/>
    </row>
    <row r="8" spans="2:35" ht="15.75" customHeight="1" thickBot="1" x14ac:dyDescent="0.3">
      <c r="B8" s="127"/>
      <c r="C8" s="205"/>
      <c r="D8" s="122" t="str">
        <f>INDEX(_Listor!$BY$3:$BZ$18,MATCH("M74",_Listor!$BX$3:$BX$18,0),2)</f>
        <v>Paraguay</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Japan</v>
      </c>
      <c r="AE8" s="204"/>
      <c r="AF8" s="128"/>
      <c r="AG8" s="119"/>
      <c r="AH8" s="114"/>
      <c r="AI8" s="114"/>
    </row>
    <row r="9" spans="2:35" ht="15.75" customHeight="1" thickBot="1" x14ac:dyDescent="0.3">
      <c r="B9" s="131"/>
      <c r="C9" s="123"/>
      <c r="D9" s="114"/>
      <c r="E9" s="114"/>
      <c r="F9" s="204" t="s">
        <v>265</v>
      </c>
      <c r="G9" s="115" t="s">
        <v>67</v>
      </c>
      <c r="H9" s="114"/>
      <c r="I9" s="114"/>
      <c r="J9" s="114"/>
      <c r="K9" s="114"/>
      <c r="O9" s="120"/>
      <c r="P9" s="120"/>
      <c r="Q9" s="120"/>
      <c r="R9" s="120"/>
      <c r="S9" s="120"/>
      <c r="U9" s="120"/>
      <c r="V9" s="120"/>
      <c r="W9" s="120"/>
      <c r="Z9" s="114"/>
      <c r="AA9" s="115" t="s">
        <v>44</v>
      </c>
      <c r="AB9" s="204" t="s">
        <v>267</v>
      </c>
      <c r="AD9" s="114"/>
      <c r="AE9" s="114"/>
      <c r="AF9" s="130"/>
      <c r="AG9" s="114"/>
      <c r="AH9" s="114"/>
      <c r="AI9" s="114"/>
    </row>
    <row r="10" spans="2:35" ht="15.75" customHeight="1" x14ac:dyDescent="0.25">
      <c r="B10" s="131"/>
      <c r="C10" s="123"/>
      <c r="D10" s="114"/>
      <c r="E10" s="114"/>
      <c r="F10" s="204"/>
      <c r="G10" s="114"/>
      <c r="H10" s="114"/>
      <c r="I10" s="114"/>
      <c r="J10" s="114"/>
      <c r="K10" s="114"/>
      <c r="L10" s="114"/>
      <c r="M10" s="120"/>
      <c r="N10" s="120"/>
      <c r="O10" s="120"/>
      <c r="P10" s="120"/>
      <c r="Q10" s="120"/>
      <c r="R10" s="120"/>
      <c r="S10" s="120"/>
      <c r="U10" s="120"/>
      <c r="V10" s="120"/>
      <c r="W10" s="120"/>
      <c r="Z10" s="114"/>
      <c r="AA10" s="114"/>
      <c r="AB10" s="204"/>
      <c r="AD10" s="114"/>
      <c r="AE10" s="114"/>
      <c r="AF10" s="130"/>
      <c r="AG10" s="114"/>
      <c r="AH10" s="114"/>
      <c r="AI10" s="114"/>
    </row>
    <row r="11" spans="2:35" ht="15.75" customHeight="1" thickBot="1" x14ac:dyDescent="0.3">
      <c r="B11" s="131"/>
      <c r="C11" s="123"/>
      <c r="D11" s="114"/>
      <c r="E11" s="114"/>
      <c r="F11" s="204"/>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4"/>
      <c r="AD11" s="114"/>
      <c r="AE11" s="114"/>
      <c r="AF11" s="130"/>
      <c r="AG11" s="114"/>
      <c r="AH11" s="114"/>
      <c r="AI11" s="114"/>
    </row>
    <row r="12" spans="2:35" ht="15.75" customHeight="1" thickBot="1" x14ac:dyDescent="0.3">
      <c r="B12" s="127"/>
      <c r="C12" s="204"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Elfenbenskusten</v>
      </c>
      <c r="AE12" s="204" t="s">
        <v>254</v>
      </c>
      <c r="AF12" s="128"/>
      <c r="AG12" s="119"/>
      <c r="AH12" s="114"/>
      <c r="AI12" s="114"/>
    </row>
    <row r="13" spans="2:35" ht="21.75" thickBot="1" x14ac:dyDescent="0.4">
      <c r="B13" s="127"/>
      <c r="C13" s="204"/>
      <c r="D13" s="114"/>
      <c r="E13" s="114"/>
      <c r="F13" s="114"/>
      <c r="G13" s="114"/>
      <c r="H13" s="114"/>
      <c r="I13" s="203" t="s">
        <v>915</v>
      </c>
      <c r="J13" s="203"/>
      <c r="K13" s="203"/>
      <c r="L13" s="114"/>
      <c r="M13" s="114"/>
      <c r="N13" s="114"/>
      <c r="T13" s="114"/>
      <c r="U13" s="114"/>
      <c r="V13" s="114"/>
      <c r="W13" s="203" t="s">
        <v>915</v>
      </c>
      <c r="X13" s="203"/>
      <c r="Y13" s="203"/>
      <c r="Z13" s="114"/>
      <c r="AA13" s="114"/>
      <c r="AB13" s="114"/>
      <c r="AC13" s="114"/>
      <c r="AE13" s="204"/>
      <c r="AF13" s="128"/>
      <c r="AG13" s="119"/>
      <c r="AH13" s="114"/>
      <c r="AI13" s="114"/>
    </row>
    <row r="14" spans="2:35" ht="15.75" customHeight="1" thickBot="1" x14ac:dyDescent="0.3">
      <c r="B14" s="127"/>
      <c r="C14" s="204"/>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4"/>
      <c r="AF14" s="128"/>
      <c r="AG14" s="119"/>
      <c r="AH14" s="114"/>
      <c r="AI14" s="114"/>
    </row>
    <row r="15" spans="2:35" ht="15.75" customHeight="1" thickBot="1" x14ac:dyDescent="0.3">
      <c r="B15" s="129"/>
      <c r="C15" s="114"/>
      <c r="D15" s="114"/>
      <c r="E15" s="114"/>
      <c r="F15" s="114"/>
      <c r="G15" s="114"/>
      <c r="H15" s="114"/>
      <c r="I15" s="204" t="s">
        <v>273</v>
      </c>
      <c r="J15" s="115" t="s">
        <v>95</v>
      </c>
      <c r="K15" s="114"/>
      <c r="L15" s="114"/>
      <c r="M15" s="114"/>
      <c r="N15" s="114"/>
      <c r="O15" s="114"/>
      <c r="S15" s="114"/>
      <c r="T15" s="114"/>
      <c r="U15" s="114"/>
      <c r="V15" s="114"/>
      <c r="W15" s="114"/>
      <c r="X15" s="115" t="s">
        <v>44</v>
      </c>
      <c r="Y15" s="204"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4"/>
      <c r="J16" s="114"/>
      <c r="K16" s="114"/>
      <c r="L16" s="114"/>
      <c r="M16" s="114"/>
      <c r="N16" s="114"/>
      <c r="O16" s="114"/>
      <c r="P16" s="114"/>
      <c r="R16" s="114"/>
      <c r="S16" s="114"/>
      <c r="T16" s="114"/>
      <c r="U16" s="114"/>
      <c r="V16" s="114"/>
      <c r="W16" s="114"/>
      <c r="X16" s="114"/>
      <c r="Y16" s="204"/>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4"/>
      <c r="J17" s="115" t="s">
        <v>71</v>
      </c>
      <c r="K17" s="114"/>
      <c r="L17" s="114"/>
      <c r="M17" s="114"/>
      <c r="N17" s="114"/>
      <c r="O17" s="114"/>
      <c r="P17" s="114"/>
      <c r="R17" s="114"/>
      <c r="S17" s="114"/>
      <c r="T17" s="114"/>
      <c r="U17" s="114"/>
      <c r="V17" s="114"/>
      <c r="W17" s="114"/>
      <c r="X17" s="115" t="s">
        <v>120</v>
      </c>
      <c r="Y17" s="204"/>
      <c r="AA17" s="114"/>
      <c r="AB17" s="114"/>
      <c r="AC17" s="114"/>
      <c r="AD17" s="114"/>
      <c r="AE17" s="114"/>
      <c r="AF17" s="130"/>
      <c r="AG17" s="114"/>
      <c r="AH17" s="114"/>
      <c r="AI17" s="114"/>
    </row>
    <row r="18" spans="2:35" ht="15.75" customHeight="1" thickBot="1" x14ac:dyDescent="0.3">
      <c r="B18" s="127"/>
      <c r="C18" s="204" t="s">
        <v>249</v>
      </c>
      <c r="D18" s="115" t="str">
        <f>INDEX(_Listor!$BY$3:$BZ$18,MATCH("M73",_Listor!$BX$3:$BX$18,0),1)</f>
        <v>Tjeckien</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4" t="s">
        <v>255</v>
      </c>
      <c r="AF18" s="128"/>
      <c r="AG18" s="119"/>
      <c r="AH18" s="114"/>
      <c r="AI18" s="114"/>
    </row>
    <row r="19" spans="2:35" ht="15.75" customHeight="1" thickBot="1" x14ac:dyDescent="0.3">
      <c r="B19" s="127"/>
      <c r="C19" s="204"/>
      <c r="D19" s="114"/>
      <c r="E19" s="114"/>
      <c r="F19" s="114"/>
      <c r="G19" s="114"/>
      <c r="H19" s="114"/>
      <c r="I19" s="114"/>
      <c r="J19" s="114"/>
      <c r="K19" s="114"/>
      <c r="L19" s="114"/>
      <c r="M19" s="114"/>
      <c r="N19" s="114"/>
      <c r="O19" s="114"/>
      <c r="P19" s="114"/>
      <c r="Q19" s="115" t="s">
        <v>95</v>
      </c>
      <c r="R19" s="114"/>
      <c r="S19" s="114"/>
      <c r="T19" s="114"/>
      <c r="U19" s="114"/>
      <c r="V19" s="114"/>
      <c r="W19" s="114"/>
      <c r="X19" s="114"/>
      <c r="Y19" s="114"/>
      <c r="Z19" s="114"/>
      <c r="AA19" s="114"/>
      <c r="AB19" s="114"/>
      <c r="AC19" s="114"/>
      <c r="AE19" s="204"/>
      <c r="AF19" s="128"/>
      <c r="AG19" s="119"/>
      <c r="AH19" s="114"/>
      <c r="AI19" s="114"/>
    </row>
    <row r="20" spans="2:35" ht="15.75" customHeight="1" thickBot="1" x14ac:dyDescent="0.3">
      <c r="B20" s="127"/>
      <c r="C20" s="204"/>
      <c r="D20" s="115" t="str">
        <f>INDEX(_Listor!$BY$3:$BZ$18,MATCH("M73",_Listor!$BX$3:$BX$18,0),2)</f>
        <v>Kanada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Skottland</v>
      </c>
      <c r="AE20" s="204"/>
      <c r="AF20" s="128"/>
      <c r="AG20" s="119"/>
      <c r="AH20" s="114"/>
      <c r="AI20" s="114"/>
    </row>
    <row r="21" spans="2:35" ht="15.75" customHeight="1" thickBot="1" x14ac:dyDescent="0.3">
      <c r="B21" s="127"/>
      <c r="E21" s="114"/>
      <c r="F21" s="204" t="s">
        <v>266</v>
      </c>
      <c r="G21" s="115" t="s">
        <v>24</v>
      </c>
      <c r="H21" s="114"/>
      <c r="I21" s="114"/>
      <c r="J21" s="114"/>
      <c r="K21" s="114"/>
      <c r="L21" s="114"/>
      <c r="M21" s="114"/>
      <c r="N21" s="114"/>
      <c r="O21" s="114"/>
      <c r="P21" s="115" t="s">
        <v>95</v>
      </c>
      <c r="R21" s="115" t="s">
        <v>44</v>
      </c>
      <c r="S21" s="114"/>
      <c r="T21" s="114"/>
      <c r="U21" s="114"/>
      <c r="V21" s="114"/>
      <c r="W21" s="114"/>
      <c r="X21" s="114"/>
      <c r="Y21" s="114"/>
      <c r="Z21" s="114"/>
      <c r="AA21" s="115" t="s">
        <v>22</v>
      </c>
      <c r="AB21" s="204" t="s">
        <v>268</v>
      </c>
      <c r="AD21" s="114"/>
      <c r="AE21" s="114"/>
      <c r="AF21" s="130"/>
      <c r="AG21" s="114"/>
      <c r="AH21" s="114"/>
      <c r="AI21" s="114"/>
    </row>
    <row r="22" spans="2:35" ht="15.75" customHeight="1" x14ac:dyDescent="0.25">
      <c r="B22" s="127"/>
      <c r="E22" s="114"/>
      <c r="F22" s="204"/>
      <c r="G22" s="114"/>
      <c r="H22" s="114"/>
      <c r="I22" s="114"/>
      <c r="J22" s="114"/>
      <c r="K22" s="114"/>
      <c r="L22" s="114"/>
      <c r="M22" s="114"/>
      <c r="N22" s="114"/>
      <c r="O22" s="114"/>
      <c r="Q22" s="114" t="s">
        <v>354</v>
      </c>
      <c r="S22" s="114"/>
      <c r="T22" s="114"/>
      <c r="U22" s="114"/>
      <c r="V22" s="114"/>
      <c r="W22" s="114"/>
      <c r="X22" s="114"/>
      <c r="Y22" s="114"/>
      <c r="Z22" s="114"/>
      <c r="AA22" s="114"/>
      <c r="AB22" s="204"/>
      <c r="AD22" s="114"/>
      <c r="AE22" s="114"/>
      <c r="AF22" s="130"/>
      <c r="AG22" s="114"/>
      <c r="AH22" s="114"/>
      <c r="AI22" s="114"/>
    </row>
    <row r="23" spans="2:35" ht="21" customHeight="1" thickBot="1" x14ac:dyDescent="0.4">
      <c r="B23" s="127"/>
      <c r="E23" s="114"/>
      <c r="F23" s="204"/>
      <c r="G23" s="115" t="s">
        <v>71</v>
      </c>
      <c r="H23" s="114"/>
      <c r="I23" s="114"/>
      <c r="J23" s="114"/>
      <c r="K23" s="114"/>
      <c r="L23" s="114"/>
      <c r="M23" s="114"/>
      <c r="N23" s="114"/>
      <c r="O23" s="114"/>
      <c r="P23" s="203" t="s">
        <v>318</v>
      </c>
      <c r="Q23" s="203"/>
      <c r="R23" s="203"/>
      <c r="S23" s="114"/>
      <c r="T23" s="114"/>
      <c r="U23" s="114"/>
      <c r="V23" s="114"/>
      <c r="W23" s="114"/>
      <c r="X23" s="114"/>
      <c r="Y23" s="114"/>
      <c r="Z23" s="114"/>
      <c r="AA23" s="115" t="s">
        <v>120</v>
      </c>
      <c r="AB23" s="204"/>
      <c r="AD23" s="114"/>
      <c r="AE23" s="114"/>
      <c r="AF23" s="128"/>
      <c r="AH23" s="114"/>
      <c r="AI23" s="114"/>
    </row>
    <row r="24" spans="2:35" ht="15.75" customHeight="1" thickBot="1" x14ac:dyDescent="0.3">
      <c r="B24" s="127"/>
      <c r="C24" s="204"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4" t="s">
        <v>256</v>
      </c>
      <c r="AF24" s="128"/>
      <c r="AG24" s="119"/>
      <c r="AH24" s="114"/>
      <c r="AI24" s="114"/>
    </row>
    <row r="25" spans="2:35" ht="15.75" customHeight="1" x14ac:dyDescent="0.25">
      <c r="B25" s="127"/>
      <c r="C25" s="204"/>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4"/>
      <c r="AF25" s="128"/>
      <c r="AG25" s="119"/>
      <c r="AH25" s="114"/>
      <c r="AI25" s="114"/>
    </row>
    <row r="26" spans="2:35" ht="21.75" thickBot="1" x14ac:dyDescent="0.4">
      <c r="B26" s="127"/>
      <c r="C26" s="204"/>
      <c r="D26" s="115" t="str">
        <f>INDEX(_Listor!$BY$3:$BZ$18,MATCH("M75",_Listor!$BX$3:$BX$18,0),2)</f>
        <v>Marocko</v>
      </c>
      <c r="E26" s="114"/>
      <c r="F26" s="114"/>
      <c r="G26" s="114"/>
      <c r="H26" s="114"/>
      <c r="I26" s="114"/>
      <c r="J26" s="114"/>
      <c r="K26" s="114"/>
      <c r="L26" s="203" t="s">
        <v>916</v>
      </c>
      <c r="M26" s="203"/>
      <c r="N26" s="203"/>
      <c r="O26" s="114"/>
      <c r="P26" s="212" t="s">
        <v>922</v>
      </c>
      <c r="Q26" s="213"/>
      <c r="R26" s="214"/>
      <c r="S26" s="114"/>
      <c r="T26" s="203" t="s">
        <v>916</v>
      </c>
      <c r="U26" s="203"/>
      <c r="V26" s="203"/>
      <c r="W26" s="114"/>
      <c r="Z26" s="114"/>
      <c r="AA26" s="114"/>
      <c r="AB26" s="114"/>
      <c r="AC26" s="114"/>
      <c r="AD26" s="122" t="str">
        <f>INDEX(_Listor!$BY$3:$BZ$18,MATCH("M80",_Listor!$BX$3:$BX$18,0),2)</f>
        <v>Senegal</v>
      </c>
      <c r="AE26" s="204"/>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4" t="s">
        <v>277</v>
      </c>
      <c r="M28" s="115" t="s">
        <v>95</v>
      </c>
      <c r="N28" s="114"/>
      <c r="O28" s="114"/>
      <c r="P28" s="114"/>
      <c r="Q28" s="114"/>
      <c r="R28" s="114"/>
      <c r="S28" s="114"/>
      <c r="T28" s="114"/>
      <c r="U28" s="115" t="s">
        <v>44</v>
      </c>
      <c r="V28" s="204"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4"/>
      <c r="M29" s="114"/>
      <c r="N29" s="114"/>
      <c r="O29" s="114"/>
      <c r="P29" s="114"/>
      <c r="Q29" s="114"/>
      <c r="R29" s="114"/>
      <c r="S29" s="114"/>
      <c r="T29" s="114"/>
      <c r="U29" s="114"/>
      <c r="V29" s="204"/>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4"/>
      <c r="M30" s="115" t="s">
        <v>91</v>
      </c>
      <c r="N30" s="114"/>
      <c r="O30" s="114"/>
      <c r="P30" s="114"/>
      <c r="Q30" s="114"/>
      <c r="R30" s="114"/>
      <c r="S30" s="114"/>
      <c r="T30" s="114"/>
      <c r="U30" s="115" t="s">
        <v>104</v>
      </c>
      <c r="V30" s="204"/>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4"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4" t="s">
        <v>261</v>
      </c>
      <c r="AF32" s="128"/>
      <c r="AG32" s="119"/>
      <c r="AH32" s="114"/>
      <c r="AI32" s="114"/>
    </row>
    <row r="33" spans="2:35" ht="15.75" customHeight="1" x14ac:dyDescent="0.25">
      <c r="B33" s="127"/>
      <c r="C33" s="204"/>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4"/>
      <c r="AF33" s="128"/>
      <c r="AG33" s="119"/>
      <c r="AH33" s="114"/>
      <c r="AI33" s="114"/>
    </row>
    <row r="34" spans="2:35" ht="21.75" thickBot="1" x14ac:dyDescent="0.4">
      <c r="B34" s="127"/>
      <c r="C34" s="204"/>
      <c r="D34" s="115" t="str">
        <f>INDEX(_Listor!$BY$3:$BZ$18,MATCH("M83",_Listor!$BX$3:$BX$18,0),2)</f>
        <v>Kroatien</v>
      </c>
      <c r="E34" s="114"/>
      <c r="G34" s="114"/>
      <c r="H34" s="114"/>
      <c r="I34" s="114"/>
      <c r="J34" s="114"/>
      <c r="K34" s="114"/>
      <c r="L34" s="114"/>
      <c r="M34" s="114"/>
      <c r="N34" s="114"/>
      <c r="O34" s="114"/>
      <c r="P34" s="203" t="s">
        <v>917</v>
      </c>
      <c r="Q34" s="203"/>
      <c r="R34" s="203"/>
      <c r="S34" s="114"/>
      <c r="T34" s="114"/>
      <c r="U34" s="114"/>
      <c r="V34" s="114"/>
      <c r="W34" s="114"/>
      <c r="X34" s="114"/>
      <c r="Y34" s="114"/>
      <c r="Z34" s="114"/>
      <c r="AA34" s="114"/>
      <c r="AB34" s="114"/>
      <c r="AC34" s="114"/>
      <c r="AD34" s="115" t="str">
        <f>INDEX(_Listor!$BY$3:$BZ$18,MATCH("M86",_Listor!$BX$3:$BX$18,0),2)</f>
        <v>Uruguay</v>
      </c>
      <c r="AE34" s="204"/>
      <c r="AF34" s="128"/>
      <c r="AG34" s="119"/>
      <c r="AH34" s="114"/>
      <c r="AI34" s="114"/>
    </row>
    <row r="35" spans="2:35" ht="15.75" customHeight="1" thickBot="1" x14ac:dyDescent="0.3">
      <c r="B35" s="129"/>
      <c r="C35" s="114"/>
      <c r="D35" s="114"/>
      <c r="E35" s="114"/>
      <c r="F35" s="204" t="s">
        <v>269</v>
      </c>
      <c r="G35" s="115" t="s">
        <v>110</v>
      </c>
      <c r="H35" s="114"/>
      <c r="I35" s="114"/>
      <c r="J35" s="114"/>
      <c r="K35" s="114"/>
      <c r="L35" s="114"/>
      <c r="M35" s="114"/>
      <c r="N35" s="114"/>
      <c r="O35" s="114"/>
      <c r="Q35" s="114" t="s">
        <v>355</v>
      </c>
      <c r="S35" s="114"/>
      <c r="T35" s="114"/>
      <c r="U35" s="114"/>
      <c r="V35" s="114"/>
      <c r="W35" s="114"/>
      <c r="X35" s="114"/>
      <c r="Y35" s="114"/>
      <c r="Z35" s="114"/>
      <c r="AA35" s="115" t="s">
        <v>104</v>
      </c>
      <c r="AB35" s="204" t="s">
        <v>271</v>
      </c>
      <c r="AD35" s="114"/>
      <c r="AE35" s="114"/>
      <c r="AF35" s="130"/>
      <c r="AG35" s="114"/>
      <c r="AH35" s="114"/>
      <c r="AI35" s="114"/>
    </row>
    <row r="36" spans="2:35" ht="15.75" customHeight="1" thickBot="1" x14ac:dyDescent="0.3">
      <c r="B36" s="129"/>
      <c r="C36" s="114"/>
      <c r="D36" s="114"/>
      <c r="E36" s="114"/>
      <c r="F36" s="204"/>
      <c r="G36" s="114"/>
      <c r="H36" s="114"/>
      <c r="I36" s="114"/>
      <c r="J36" s="114"/>
      <c r="K36" s="114"/>
      <c r="L36" s="114"/>
      <c r="M36" s="114"/>
      <c r="N36" s="114"/>
      <c r="O36" s="114"/>
      <c r="P36" s="115" t="s">
        <v>91</v>
      </c>
      <c r="R36" s="115" t="s">
        <v>104</v>
      </c>
      <c r="S36" s="114"/>
      <c r="T36" s="114"/>
      <c r="U36" s="114"/>
      <c r="V36" s="114"/>
      <c r="W36" s="114"/>
      <c r="X36" s="114"/>
      <c r="Y36" s="114"/>
      <c r="Z36" s="114"/>
      <c r="AA36" s="114"/>
      <c r="AB36" s="204"/>
      <c r="AD36" s="114"/>
      <c r="AE36" s="114"/>
      <c r="AF36" s="130"/>
      <c r="AG36" s="114"/>
      <c r="AH36" s="114"/>
      <c r="AI36" s="114"/>
    </row>
    <row r="37" spans="2:35" ht="15.75" customHeight="1" thickBot="1" x14ac:dyDescent="0.3">
      <c r="B37" s="127"/>
      <c r="E37" s="114"/>
      <c r="F37" s="204"/>
      <c r="G37" s="115" t="s">
        <v>91</v>
      </c>
      <c r="H37" s="114"/>
      <c r="K37" s="114"/>
      <c r="P37" s="114"/>
      <c r="Q37" s="114"/>
      <c r="R37" s="114"/>
      <c r="AA37" s="115" t="s">
        <v>56</v>
      </c>
      <c r="AB37" s="204"/>
      <c r="AE37" s="114"/>
      <c r="AF37" s="128"/>
      <c r="AH37" s="114"/>
      <c r="AI37" s="114"/>
    </row>
    <row r="38" spans="2:35" ht="15.75" customHeight="1" thickBot="1" x14ac:dyDescent="0.3">
      <c r="B38" s="127"/>
      <c r="C38" s="204"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USA</v>
      </c>
      <c r="AE38" s="204" t="s">
        <v>262</v>
      </c>
      <c r="AF38" s="128"/>
      <c r="AG38" s="119"/>
      <c r="AH38" s="114"/>
      <c r="AI38" s="114"/>
    </row>
    <row r="39" spans="2:35" ht="15.75" customHeight="1" thickBot="1" x14ac:dyDescent="0.3">
      <c r="B39" s="127"/>
      <c r="C39" s="204"/>
      <c r="D39" s="114"/>
      <c r="E39" s="114"/>
      <c r="F39" s="114"/>
      <c r="G39" s="114"/>
      <c r="H39" s="114"/>
      <c r="I39" s="114"/>
      <c r="J39" s="114"/>
      <c r="K39" s="114"/>
      <c r="L39" s="114"/>
      <c r="M39" s="114"/>
      <c r="N39" s="114"/>
      <c r="O39" s="114"/>
      <c r="P39" s="114"/>
      <c r="Q39" s="115" t="s">
        <v>91</v>
      </c>
      <c r="R39" s="114"/>
      <c r="S39" s="114"/>
      <c r="T39" s="114"/>
      <c r="U39" s="114"/>
      <c r="V39" s="114"/>
      <c r="W39" s="114"/>
      <c r="AA39" s="114"/>
      <c r="AB39" s="114"/>
      <c r="AC39" s="114"/>
      <c r="AE39" s="204"/>
      <c r="AF39" s="128"/>
      <c r="AG39" s="119"/>
      <c r="AH39" s="114"/>
      <c r="AI39" s="114"/>
    </row>
    <row r="40" spans="2:35" ht="15.75" customHeight="1" thickBot="1" x14ac:dyDescent="0.3">
      <c r="B40" s="127"/>
      <c r="C40" s="204"/>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4"/>
      <c r="AF40" s="128"/>
      <c r="AG40" s="119"/>
      <c r="AH40" s="114"/>
      <c r="AI40" s="114"/>
    </row>
    <row r="41" spans="2:35" ht="15.75" customHeight="1" thickBot="1" x14ac:dyDescent="0.3">
      <c r="B41" s="129"/>
      <c r="C41" s="114"/>
      <c r="D41" s="114"/>
      <c r="E41" s="114"/>
      <c r="F41" s="114"/>
      <c r="G41" s="114"/>
      <c r="H41" s="114"/>
      <c r="I41" s="204" t="s">
        <v>274</v>
      </c>
      <c r="J41" s="115" t="s">
        <v>91</v>
      </c>
      <c r="K41" s="114"/>
      <c r="L41" s="114"/>
      <c r="M41" s="114"/>
      <c r="N41" s="114"/>
      <c r="O41" s="114"/>
      <c r="S41" s="114"/>
      <c r="T41" s="114"/>
      <c r="U41" s="114"/>
      <c r="V41" s="114"/>
      <c r="W41" s="114"/>
      <c r="X41" s="115" t="s">
        <v>104</v>
      </c>
      <c r="Y41" s="204"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4"/>
      <c r="J42" s="114"/>
      <c r="K42" s="114"/>
      <c r="L42" s="114"/>
      <c r="M42" s="114"/>
      <c r="N42" s="114"/>
      <c r="O42" s="114"/>
      <c r="P42" s="114"/>
      <c r="Q42" s="114"/>
      <c r="R42" s="114"/>
      <c r="S42" s="114"/>
      <c r="T42" s="114"/>
      <c r="U42" s="114"/>
      <c r="V42" s="114"/>
      <c r="W42" s="114"/>
      <c r="X42" s="114"/>
      <c r="Y42" s="204"/>
      <c r="AA42" s="114"/>
      <c r="AB42" s="114"/>
      <c r="AC42" s="114"/>
      <c r="AD42" s="114"/>
      <c r="AE42" s="114"/>
      <c r="AF42" s="130"/>
      <c r="AG42" s="114"/>
      <c r="AH42" s="114"/>
      <c r="AI42" s="114"/>
    </row>
    <row r="43" spans="2:35" ht="15.75" customHeight="1" thickBot="1" x14ac:dyDescent="0.3">
      <c r="B43" s="127"/>
      <c r="D43" s="114"/>
      <c r="E43" s="114"/>
      <c r="F43" s="114"/>
      <c r="G43" s="114"/>
      <c r="H43" s="114"/>
      <c r="I43" s="204"/>
      <c r="J43" s="115" t="s">
        <v>79</v>
      </c>
      <c r="K43" s="114"/>
      <c r="L43" s="114"/>
      <c r="M43" s="114"/>
      <c r="N43" s="114"/>
      <c r="O43" s="114"/>
      <c r="P43" s="114"/>
      <c r="Q43" s="114"/>
      <c r="R43" s="114"/>
      <c r="S43" s="114"/>
      <c r="T43" s="114"/>
      <c r="U43" s="114"/>
      <c r="V43" s="114"/>
      <c r="W43" s="114"/>
      <c r="X43" s="115" t="s">
        <v>114</v>
      </c>
      <c r="Y43" s="204"/>
      <c r="AA43" s="114"/>
      <c r="AB43" s="114"/>
      <c r="AC43" s="114"/>
      <c r="AD43" s="114"/>
      <c r="AE43" s="114"/>
      <c r="AF43" s="128"/>
      <c r="AH43" s="114"/>
      <c r="AI43" s="114"/>
    </row>
    <row r="44" spans="2:35" ht="15.75" customHeight="1" thickBot="1" x14ac:dyDescent="0.3">
      <c r="B44" s="127"/>
      <c r="C44" s="204" t="s">
        <v>259</v>
      </c>
      <c r="D44" s="115" t="str">
        <f>INDEX(_Listor!$BY$3:$BZ$18,MATCH("M81",_Listor!$BX$3:$BX$18,0),1)</f>
        <v>Turkiet</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4" t="s">
        <v>263</v>
      </c>
      <c r="AF44" s="128"/>
      <c r="AG44" s="119"/>
      <c r="AH44" s="114"/>
      <c r="AI44" s="114"/>
    </row>
    <row r="45" spans="2:35" ht="15.75" customHeight="1" x14ac:dyDescent="0.25">
      <c r="B45" s="127"/>
      <c r="C45" s="204"/>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4"/>
      <c r="AF45" s="128"/>
      <c r="AG45" s="119"/>
      <c r="AH45" s="114"/>
      <c r="AI45" s="114"/>
    </row>
    <row r="46" spans="2:35" ht="15.75" customHeight="1" thickBot="1" x14ac:dyDescent="0.3">
      <c r="B46" s="127"/>
      <c r="C46" s="204"/>
      <c r="D46" s="122" t="str">
        <f>INDEX(_Listor!$BY$3:$BZ$18,MATCH("M81",_Listor!$BX$3:$BX$18,0),2)</f>
        <v>Bosnien och Hercegovina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Algeriet</v>
      </c>
      <c r="AE46" s="204"/>
      <c r="AF46" s="128"/>
      <c r="AG46" s="119"/>
      <c r="AH46" s="114"/>
      <c r="AI46" s="114"/>
    </row>
    <row r="47" spans="2:35" ht="15.75" customHeight="1" thickBot="1" x14ac:dyDescent="0.3">
      <c r="B47" s="127"/>
      <c r="D47" s="114"/>
      <c r="E47" s="114"/>
      <c r="F47" s="204" t="s">
        <v>270</v>
      </c>
      <c r="G47" s="115" t="s">
        <v>61</v>
      </c>
      <c r="H47" s="114"/>
      <c r="I47" s="114"/>
      <c r="J47" s="114"/>
      <c r="K47" s="114"/>
      <c r="L47" s="114"/>
      <c r="M47" s="114"/>
      <c r="N47" s="114"/>
      <c r="O47" s="114"/>
      <c r="P47" s="114"/>
      <c r="Q47" s="114"/>
      <c r="R47" s="114"/>
      <c r="S47" s="114"/>
      <c r="T47" s="114"/>
      <c r="U47" s="114"/>
      <c r="V47" s="114"/>
      <c r="W47" s="114"/>
      <c r="X47" s="114"/>
      <c r="Y47" s="114"/>
      <c r="Z47" s="114"/>
      <c r="AA47" s="115" t="s">
        <v>41</v>
      </c>
      <c r="AB47" s="204" t="s">
        <v>272</v>
      </c>
      <c r="AD47" s="114"/>
      <c r="AF47" s="128"/>
      <c r="AH47" s="114"/>
      <c r="AI47" s="114"/>
    </row>
    <row r="48" spans="2:35" ht="15.75" customHeight="1" x14ac:dyDescent="0.25">
      <c r="B48" s="127"/>
      <c r="D48" s="114"/>
      <c r="E48" s="114"/>
      <c r="F48" s="204"/>
      <c r="G48" s="114"/>
      <c r="H48" s="114"/>
      <c r="I48" s="114"/>
      <c r="J48" s="114"/>
      <c r="K48" s="114"/>
      <c r="L48" s="114"/>
      <c r="M48" s="114"/>
      <c r="N48" s="114"/>
      <c r="O48" s="114"/>
      <c r="P48" s="114"/>
      <c r="Q48" s="114"/>
      <c r="R48" s="114"/>
      <c r="S48" s="114"/>
      <c r="T48" s="114"/>
      <c r="U48" s="114"/>
      <c r="V48" s="114"/>
      <c r="W48" s="114"/>
      <c r="X48" s="114"/>
      <c r="Y48" s="114"/>
      <c r="Z48" s="114"/>
      <c r="AA48" s="114"/>
      <c r="AB48" s="204"/>
      <c r="AD48" s="114"/>
      <c r="AF48" s="130"/>
      <c r="AG48" s="114"/>
      <c r="AH48" s="114"/>
      <c r="AI48" s="114"/>
    </row>
    <row r="49" spans="2:35" ht="15.75" customHeight="1" thickBot="1" x14ac:dyDescent="0.3">
      <c r="B49" s="129"/>
      <c r="C49" s="114"/>
      <c r="D49" s="114"/>
      <c r="E49" s="114"/>
      <c r="F49" s="204"/>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4"/>
      <c r="AD49" s="114"/>
      <c r="AF49" s="130"/>
      <c r="AG49" s="114"/>
      <c r="AH49" s="114"/>
      <c r="AI49" s="114"/>
    </row>
    <row r="50" spans="2:35" ht="15.75" customHeight="1" thickBot="1" x14ac:dyDescent="0.3">
      <c r="B50" s="127"/>
      <c r="C50" s="204"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4" t="s">
        <v>264</v>
      </c>
      <c r="AF50" s="128"/>
      <c r="AG50" s="119"/>
      <c r="AH50" s="114"/>
      <c r="AI50" s="114"/>
    </row>
    <row r="51" spans="2:35" ht="15.75" customHeight="1" x14ac:dyDescent="0.25">
      <c r="B51" s="127"/>
      <c r="C51" s="20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4"/>
      <c r="AF51" s="128"/>
      <c r="AG51" s="119"/>
      <c r="AH51" s="114"/>
      <c r="AI51" s="114"/>
    </row>
    <row r="52" spans="2:35" ht="15.75" customHeight="1" thickBot="1" x14ac:dyDescent="0.3">
      <c r="B52" s="127"/>
      <c r="C52" s="204"/>
      <c r="D52" s="122" t="str">
        <f>INDEX(_Listor!$BY$3:$BZ$18,MATCH("M82",_Listor!$BX$3:$BX$18,0),2)</f>
        <v>Sydkorea</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Ecuador</v>
      </c>
      <c r="AE52" s="204"/>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P34:R34"/>
    <mergeCell ref="T26:V26"/>
    <mergeCell ref="L28:L30"/>
    <mergeCell ref="I41:I43"/>
    <mergeCell ref="I15:I17"/>
    <mergeCell ref="AC4:AE4"/>
    <mergeCell ref="W13:Y13"/>
    <mergeCell ref="Y41:Y43"/>
    <mergeCell ref="Y15:Y17"/>
    <mergeCell ref="V28:V30"/>
    <mergeCell ref="C50:C52"/>
    <mergeCell ref="C44:C46"/>
    <mergeCell ref="C38:C40"/>
    <mergeCell ref="C32:C34"/>
    <mergeCell ref="C24:C26"/>
    <mergeCell ref="F35:F37"/>
    <mergeCell ref="AE50:AE52"/>
    <mergeCell ref="AE44:AE46"/>
    <mergeCell ref="AE38:AE40"/>
    <mergeCell ref="AE6:AE8"/>
    <mergeCell ref="AB9:AB11"/>
    <mergeCell ref="AB21:AB23"/>
    <mergeCell ref="AE18:AE20"/>
    <mergeCell ref="AE12:AE14"/>
    <mergeCell ref="Z7:AB7"/>
    <mergeCell ref="AB35:AB37"/>
    <mergeCell ref="AB47:AB49"/>
    <mergeCell ref="F47:F49"/>
    <mergeCell ref="AE32:AE34"/>
    <mergeCell ref="AE24:AE26"/>
    <mergeCell ref="P26:R26"/>
    <mergeCell ref="C4:E4"/>
    <mergeCell ref="F7:H7"/>
    <mergeCell ref="I13:K13"/>
    <mergeCell ref="L26:N26"/>
    <mergeCell ref="P23:R23"/>
    <mergeCell ref="C12:C14"/>
    <mergeCell ref="C6:C8"/>
    <mergeCell ref="F9:F11"/>
    <mergeCell ref="C18:C20"/>
    <mergeCell ref="O3:S4"/>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sqref="A1:F1"/>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2" t="s">
        <v>925</v>
      </c>
      <c r="B1" s="193"/>
      <c r="C1" s="193"/>
      <c r="D1" s="193"/>
      <c r="E1" s="193"/>
      <c r="F1" s="194"/>
    </row>
    <row r="2" spans="1:50" ht="34.5" customHeight="1" x14ac:dyDescent="0.25">
      <c r="A2" s="202" t="s">
        <v>924</v>
      </c>
      <c r="B2" s="202"/>
      <c r="C2" s="202"/>
      <c r="D2" s="202"/>
      <c r="E2" s="202"/>
      <c r="F2" s="202"/>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930</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287</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activeCell="F21" sqref="F21"/>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5" t="s">
        <v>13</v>
      </c>
      <c r="B1" s="193"/>
      <c r="C1" s="193"/>
      <c r="D1" s="194"/>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6" t="s">
        <v>126</v>
      </c>
      <c r="B1" s="217"/>
      <c r="C1" s="217"/>
      <c r="D1" s="217"/>
      <c r="E1" s="217"/>
      <c r="F1" s="217"/>
      <c r="G1" s="217"/>
      <c r="H1" s="217"/>
      <c r="I1" s="217"/>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217"/>
      <c r="BV1" s="217"/>
      <c r="BX1" s="219" t="s">
        <v>317</v>
      </c>
      <c r="BY1" s="217"/>
      <c r="BZ1" s="217"/>
      <c r="CA1" s="217"/>
    </row>
    <row r="2" spans="1:79" ht="15.75" thickBot="1" x14ac:dyDescent="0.3">
      <c r="A2" t="s">
        <v>22</v>
      </c>
      <c r="C2">
        <v>1</v>
      </c>
      <c r="E2" s="86" t="str">
        <f>IF('1. Gruppspel'!D4="","",'1. Gruppspel'!D4)</f>
        <v>Sydkorea</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Tjeckien</v>
      </c>
      <c r="U2" s="86" t="str">
        <f>_Listor!$BY$4</f>
        <v>Nederländerna</v>
      </c>
      <c r="V2" s="86" t="str">
        <f>_Listor!$BY$5</f>
        <v>Tyskland</v>
      </c>
      <c r="W2" s="86" t="str">
        <f>_Listor!$BY$6</f>
        <v>Frankrike</v>
      </c>
      <c r="X2" s="86" t="str">
        <f>_Listor!$BY$7</f>
        <v>Brasilien</v>
      </c>
      <c r="Y2" s="86" t="str">
        <f>_Listor!$BY$8</f>
        <v>Elfenbenskusten</v>
      </c>
      <c r="Z2" s="86" t="str">
        <f>_Listor!$BY$9</f>
        <v>Mexiko</v>
      </c>
      <c r="AA2" s="86" t="str">
        <f>_Listor!$BY$10</f>
        <v>England</v>
      </c>
      <c r="AB2" s="86" t="str">
        <f>_Listor!$BY$11</f>
        <v>Colombia</v>
      </c>
      <c r="AC2" s="86" t="str">
        <f>_Listor!$BY$12</f>
        <v>Spanien</v>
      </c>
      <c r="AD2" s="86" t="str">
        <f>_Listor!$BY$13</f>
        <v>Turkiet</v>
      </c>
      <c r="AE2" s="86" t="str">
        <f>_Listor!$BY$14</f>
        <v>Belgien</v>
      </c>
      <c r="AF2" s="86" t="str">
        <f>_Listor!$BY$15</f>
        <v>Argentina</v>
      </c>
      <c r="AG2" s="86" t="str">
        <f>_Listor!$BY$16</f>
        <v>USA</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Ecuador</v>
      </c>
      <c r="BF2" t="str" cm="1">
        <f t="array" ref="BF2">IFERROR(INDEX($E$2:$E$13,_xlfn.AGGREGATE(15,6,(ROW($E$2:$E$13)-ROW($E$2)+1)/(($E$2:$E$13&lt;&gt;"")*((COUNTIF($BE$2:$BE$9,$E$2:$E$13)=0)+($E$2:$E$13='2. Bästa grupptreor'!$B$4))),ROWS($BF$2:BF2))),"")</f>
        <v>Ecuador</v>
      </c>
      <c r="BG2" t="str" cm="1">
        <f t="array" ref="BG2">IFERROR(INDEX($E$2:$E$13,_xlfn.AGGREGATE(15,6,(ROW($E$2:$E$13)-ROW($E$2)+1)/(($E$2:$E$13&lt;&gt;"")*((COUNTIF($BE$2:$BE$9,$E$2:$E$13)=0)+($E$2:$E$13='2. Bästa grupptreor'!$B$6))),ROWS($BG$2:BG2))),"")</f>
        <v>Iran</v>
      </c>
      <c r="BH2" t="str" cm="1">
        <f t="array" ref="BH2">IFERROR(INDEX($E$2:$E$13,_xlfn.AGGREGATE(15,6,(ROW($E$2:$E$13)-ROW($E$2)+1)/(($E$2:$E$13&lt;&gt;"")*((COUNTIF($BE$2:$BE$9,$E$2:$E$13)=0)+($E$2:$E$13='2. Bästa grupptreor'!$B$8))),ROWS($BH$2:BH2))),"")</f>
        <v>Skottland</v>
      </c>
      <c r="BI2" t="str">
        <f>IFERROR(INDEX($E$2:$E$13,_xlfn.AGGREGATE(15,6,(ROW($E$2:$E$13)-ROW($E$2)+1)/(($E$2:$E$13&lt;&gt;"")*((COUNTIF($BE$2:$BE$9,$E$2:$E$13)=0)+($E$2:$E$13='2. Bästa grupptreor'!$B$10))),ROWS($BI$2:BI2))),"")</f>
        <v>Sydkorea</v>
      </c>
      <c r="BJ2" t="str">
        <f>IFERROR(INDEX($E$2:$E$13,_xlfn.AGGREGATE(15,6,(ROW($E$2:$E$13)-ROW($E$2)+1)/(($E$2:$E$13&lt;&gt;"")*((COUNTIF($BE$2:$BE$9,$E$2:$E$13)=0)+($E$2:$E$13='2. Bästa grupptreor'!$B$12))),ROWS($BJ$2:BJ2))),"")</f>
        <v>Sverige</v>
      </c>
      <c r="BK2" t="str" cm="1">
        <f t="array" ref="BK2">IFERROR(INDEX($E$2:$E$13,_xlfn.AGGREGATE(15,6,(ROW($E$2:$E$13)-ROW($E$2)+1)/(($E$2:$E$13&lt;&gt;"")*((COUNTIF($BE$2:$BE$9,$E$2:$E$13)=0)+($E$2:$E$13='2. Bästa grupptreor'!$B$14))),ROWS($BK$2:BK2))),"")</f>
        <v>Paraguay</v>
      </c>
      <c r="BL2" t="str" cm="1">
        <f t="array" ref="BL2">IFERROR(INDEX($E$2:$E$13,_xlfn.AGGREGATE(15,6,(ROW($E$2:$E$13)-ROW($E$2)+1)/(($E$2:$E$13&lt;&gt;"")*((COUNTIF($BE$2:$BE$9,$E$2:$E$13)=0)+($E$2:$E$13='2. Bästa grupptreor'!$B$16))),ROWS($BL$2:BL2))),"")</f>
        <v>Bosnien och Hercegovina</v>
      </c>
      <c r="BM2" t="str" cm="1">
        <f t="array" ref="BM2">IFERROR(INDEX($E$2:$E$13,_xlfn.AGGREGATE(15,6,(ROW($E$2:$E$13)-ROW($E$2)+1)/(($E$2:$E$13&lt;&gt;"")*((COUNTIF($BE$2:$BE$9,$E$2:$E$13)=0)+($E$2:$E$13='2. Bästa grupptreor'!$B$18))),ROWS($BM$2:BM2))),"")</f>
        <v>Iran</v>
      </c>
      <c r="BN2" t="str">
        <f>IF('2. Bästa grupptreor'!B4="","",INDEX('1. Gruppspel'!$A$4:$A$15,MATCH('2. Bästa grupptreor'!B4,'1. Gruppspel'!$D$4:$D$15,0)))</f>
        <v>E</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ABCDEFIJ</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Bosnien och Hercegovina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Kanada</v>
      </c>
      <c r="U3" s="86" t="str">
        <f>_Listor!$BZ$4</f>
        <v>Marocko</v>
      </c>
      <c r="V3" s="86" t="str">
        <f>_Listor!$BZ$5</f>
        <v>Paraguay</v>
      </c>
      <c r="W3" s="86" t="str">
        <f>_Listor!$BZ$6</f>
        <v>Sverige</v>
      </c>
      <c r="X3" s="86" t="str">
        <f>_Listor!$BZ$7</f>
        <v>Japan</v>
      </c>
      <c r="Y3" s="86" t="str">
        <f>_Listor!$BZ$8</f>
        <v>Norge</v>
      </c>
      <c r="Z3" s="86" t="str">
        <f>_Listor!$BZ$9</f>
        <v>Skottland</v>
      </c>
      <c r="AA3" s="86" t="str">
        <f>_Listor!$BZ$10</f>
        <v>Senegal</v>
      </c>
      <c r="AB3" s="86" t="str">
        <f>_Listor!$BZ$11</f>
        <v>Kroatien</v>
      </c>
      <c r="AC3" s="86" t="str">
        <f>_Listor!$BZ$12</f>
        <v>Österrike</v>
      </c>
      <c r="AD3" s="86" t="str">
        <f>_Listor!$BZ$13</f>
        <v>Bosnien och Hercegovina</v>
      </c>
      <c r="AE3" s="86" t="str">
        <f>_Listor!$BZ$14</f>
        <v>Sydkorea</v>
      </c>
      <c r="AF3" s="86" t="str">
        <f>_Listor!$BZ$15</f>
        <v>Uruguay</v>
      </c>
      <c r="AG3" s="86" t="str">
        <f>_Listor!$BZ$16</f>
        <v>Egypten</v>
      </c>
      <c r="AH3" s="86" t="str">
        <f>_Listor!$BZ$17</f>
        <v>Algeriet</v>
      </c>
      <c r="AI3" s="86" t="str">
        <f>_Listor!$BZ$18</f>
        <v>Ecuador</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Senegal</v>
      </c>
      <c r="BF3" t="str" cm="1">
        <f t="array" ref="BF3">IFERROR(INDEX($E$2:$E$13,_xlfn.AGGREGATE(15,6,(ROW($E$2:$E$13)-ROW($E$2)+1)/(($E$2:$E$13&lt;&gt;"")*((COUNTIF($BE$2:$BE$9,$E$2:$E$13)=0)+($E$2:$E$13='2. Bästa grupptreor'!$B$4))),ROWS($BF$2:BF3))),"")</f>
        <v>Iran</v>
      </c>
      <c r="BG3" t="str" cm="1">
        <f t="array" ref="BG3">IFERROR(INDEX($E$2:$E$13,_xlfn.AGGREGATE(15,6,(ROW($E$2:$E$13)-ROW($E$2)+1)/(($E$2:$E$13&lt;&gt;"")*((COUNTIF($BE$2:$BE$9,$E$2:$E$13)=0)+($E$2:$E$13='2. Bästa grupptreor'!$B$6))),ROWS($BG$2:BG3))),"")</f>
        <v>Saudiarabien</v>
      </c>
      <c r="BH3" t="str">
        <f>IFERROR(INDEX($E$2:$E$13,_xlfn.AGGREGATE(15,6,(ROW($E$2:$E$13)-ROW($E$2)+1)/(($E$2:$E$13&lt;&gt;"")*((COUNTIF($BE$2:$BE$9,$E$2:$E$13)=0)+($E$2:$E$13='2. Bästa grupptreor'!$B$8))),ROWS($BH$2:BH3))),"")</f>
        <v>Iran</v>
      </c>
      <c r="BI3" t="str">
        <f>IFERROR(INDEX($E$2:$E$13,_xlfn.AGGREGATE(15,6,(ROW($E$2:$E$13)-ROW($E$2)+1)/(($E$2:$E$13&lt;&gt;"")*((COUNTIF($BE$2:$BE$9,$E$2:$E$13)=0)+($E$2:$E$13='2. Bästa grupptreor'!$B$10))),ROWS($BI$2:BI3))),"")</f>
        <v>Iran</v>
      </c>
      <c r="BJ3" t="str">
        <f>IFERROR(INDEX($E$2:$E$13,_xlfn.AGGREGATE(15,6,(ROW($E$2:$E$13)-ROW($E$2)+1)/(($E$2:$E$13&lt;&gt;"")*((COUNTIF($BE$2:$BE$9,$E$2:$E$13)=0)+($E$2:$E$13='2. Bästa grupptreor'!$B$12))),ROWS($BJ$2:BJ3))),"")</f>
        <v>Iran</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Iran</v>
      </c>
      <c r="BM3" t="str" cm="1">
        <f t="array" ref="BM3">IFERROR(INDEX($E$2:$E$13,_xlfn.AGGREGATE(15,6,(ROW($E$2:$E$13)-ROW($E$2)+1)/(($E$2:$E$13&lt;&gt;"")*((COUNTIF($BE$2:$BE$9,$E$2:$E$13)=0)+($E$2:$E$13='2. Bästa grupptreor'!$B$18))),ROWS($BM$2:BM3))),"")</f>
        <v>Saudiarabien</v>
      </c>
      <c r="BN3" t="str">
        <f>IF('2. Bästa grupptreor'!B6="","",INDEX('1. Gruppspel'!$A$4:$A$15,MATCH('2. Bästa grupptreor'!B6,'1. Gruppspel'!$D$4:$D$15,0)))</f>
        <v>I</v>
      </c>
      <c r="BT3" s="139">
        <v>1</v>
      </c>
      <c r="BU3" s="139" t="str">
        <f>IF('1. Gruppspel'!B4="","",'1. Gruppspel'!B4)</f>
        <v>Mexiko</v>
      </c>
      <c r="BV3" s="139" t="s">
        <v>322</v>
      </c>
      <c r="BX3" s="140" t="s">
        <v>249</v>
      </c>
      <c r="BY3" s="141" t="str">
        <f>IF('1. Gruppspel'!$C$4="","",'1. Gruppspel'!$C$4)</f>
        <v>Tjeckien</v>
      </c>
      <c r="BZ3" s="142" t="str">
        <f>IF('1. Gruppspel'!$C$5="","",'1. Gruppspel'!$C$5)</f>
        <v>Kanada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Skottland</v>
      </c>
      <c r="BF4" t="str" cm="1">
        <f t="array" ref="BF4">IFERROR(INDEX($E$2:$E$13,_xlfn.AGGREGATE(15,6,(ROW($E$2:$E$13)-ROW($E$2)+1)/(($E$2:$E$13&lt;&gt;"")*((COUNTIF($BE$2:$BE$9,$E$2:$E$13)=0)+($E$2:$E$13='2. Bästa grupptreor'!$B$4))),ROWS($BF$2:BF4))),"")</f>
        <v>Saudiarabien</v>
      </c>
      <c r="BG4" t="str" cm="1">
        <f t="array" ref="BG4">IFERROR(INDEX($E$2:$E$13,_xlfn.AGGREGATE(15,6,(ROW($E$2:$E$13)-ROW($E$2)+1)/(($E$2:$E$13&lt;&gt;"")*((COUNTIF($BE$2:$BE$9,$E$2:$E$13)=0)+($E$2:$E$13='2. Bästa grupptreor'!$B$6))),ROWS($BG$2:BG4))),"")</f>
        <v>Senegal</v>
      </c>
      <c r="BH4" t="str">
        <f>IFERROR(INDEX($E$2:$E$13,_xlfn.AGGREGATE(15,6,(ROW($E$2:$E$13)-ROW($E$2)+1)/(($E$2:$E$13&lt;&gt;"")*((COUNTIF($BE$2:$BE$9,$E$2:$E$13)=0)+($E$2:$E$13='2. Bästa grupptreor'!$B$8))),ROWS($BH$2:BH4))),"")</f>
        <v>Saudiarabien</v>
      </c>
      <c r="BI4" t="str">
        <f>IFERROR(INDEX($E$2:$E$13,_xlfn.AGGREGATE(15,6,(ROW($E$2:$E$13)-ROW($E$2)+1)/(($E$2:$E$13&lt;&gt;"")*((COUNTIF($BE$2:$BE$9,$E$2:$E$13)=0)+($E$2:$E$13='2. Bästa grupptreor'!$B$10))),ROWS($BI$2:BI4))),"")</f>
        <v>Saudiarabien</v>
      </c>
      <c r="BJ4" t="str">
        <f>IFERROR(INDEX($E$2:$E$13,_xlfn.AGGREGATE(15,6,(ROW($E$2:$E$13)-ROW($E$2)+1)/(($E$2:$E$13&lt;&gt;"")*((COUNTIF($BE$2:$BE$9,$E$2:$E$13)=0)+($E$2:$E$13='2. Bästa grupptreor'!$B$12))),ROWS($BJ$2:BJ4))),"")</f>
        <v>Saudiarabien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Saudiarabien</v>
      </c>
      <c r="BM4" t="str" cm="1">
        <f t="array" ref="BM4">IFERROR(INDEX($E$2:$E$13,_xlfn.AGGREGATE(15,6,(ROW($E$2:$E$13)-ROW($E$2)+1)/(($E$2:$E$13&lt;&gt;"")*((COUNTIF($BE$2:$BE$9,$E$2:$E$13)=0)+($E$2:$E$13='2. Bästa grupptreor'!$B$18))),ROWS($BM$2:BM4))),"")</f>
        <v>Algeriet</v>
      </c>
      <c r="BN4" t="str">
        <f>IF('2. Bästa grupptreor'!B8="","",INDEX('1. Gruppspel'!$A$4:$A$15,MATCH('2. Bästa grupptreor'!B8,'1. Gruppspel'!$D$4:$D$15,0)))</f>
        <v>C</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Sydkorea</v>
      </c>
      <c r="BF5" t="str" cm="1">
        <f t="array" ref="BF5">IFERROR(INDEX($E$2:$E$13,_xlfn.AGGREGATE(15,6,(ROW($E$2:$E$13)-ROW($E$2)+1)/(($E$2:$E$13&lt;&gt;"")*((COUNTIF($BE$2:$BE$9,$E$2:$E$13)=0)+($E$2:$E$13='2. Bästa grupptreor'!$B$4))),ROWS($BF$2:BF5))),"")</f>
        <v>DR Kongo</v>
      </c>
      <c r="BG5" t="str" cm="1">
        <f t="array" ref="BG5">IFERROR(INDEX($E$2:$E$13,_xlfn.AGGREGATE(15,6,(ROW($E$2:$E$13)-ROW($E$2)+1)/(($E$2:$E$13&lt;&gt;"")*((COUNTIF($BE$2:$BE$9,$E$2:$E$13)=0)+($E$2:$E$13='2. Bästa grupptreor'!$B$6))),ROWS($BG$2:BG5))),"")</f>
        <v>DR Kongo</v>
      </c>
      <c r="BH5" t="str">
        <f>IFERROR(INDEX($E$2:$E$13,_xlfn.AGGREGATE(15,6,(ROW($E$2:$E$13)-ROW($E$2)+1)/(($E$2:$E$13&lt;&gt;"")*((COUNTIF($BE$2:$BE$9,$E$2:$E$13)=0)+($E$2:$E$13='2. Bästa grupptreor'!$B$8))),ROWS($BH$2:BH5))),"")</f>
        <v>DR Kongo</v>
      </c>
      <c r="BI5" t="str">
        <f>IFERROR(INDEX($E$2:$E$13,_xlfn.AGGREGATE(15,6,(ROW($E$2:$E$13)-ROW($E$2)+1)/(($E$2:$E$13&lt;&gt;"")*((COUNTIF($BE$2:$BE$9,$E$2:$E$13)=0)+($E$2:$E$13='2. Bästa grupptreor'!$B$10))),ROWS($BI$2:BI5))),"")</f>
        <v>DR Kongo</v>
      </c>
      <c r="BJ5" t="str">
        <f>IFERROR(INDEX($E$2:$E$13,_xlfn.AGGREGATE(15,6,(ROW($E$2:$E$13)-ROW($E$2)+1)/(($E$2:$E$13&lt;&gt;"")*((COUNTIF($BE$2:$BE$9,$E$2:$E$13)=0)+($E$2:$E$13='2. Bästa grupptreor'!$B$12))),ROWS($BJ$2:BJ5))),"")</f>
        <v>DR Kongo</v>
      </c>
      <c r="BK5" t="str" cm="1">
        <f t="array" ref="BK5">IFERROR(INDEX($E$2:$E$13,_xlfn.AGGREGATE(15,6,(ROW($E$2:$E$13)-ROW($E$2)+1)/(($E$2:$E$13&lt;&gt;"")*((COUNTIF($BE$2:$BE$9,$E$2:$E$13)=0)+($E$2:$E$13='2. Bästa grupptreor'!$B$14))),ROWS($BK$2:BK5))),"")</f>
        <v>DR Kongo</v>
      </c>
      <c r="BL5" t="str">
        <f>IFERROR(INDEX($E$2:$E$13,_xlfn.AGGREGATE(15,6,(ROW($E$2:$E$13)-ROW($E$2)+1)/(($E$2:$E$13&lt;&gt;"")*((COUNTIF($BE$2:$BE$9,$E$2:$E$13)=0)+($E$2:$E$13='2. Bästa grupptreor'!$B$16))),ROWS($BL$2:BL5))),"")</f>
        <v>DR Kongo</v>
      </c>
      <c r="BM5" t="str">
        <f>IFERROR(INDEX($E$2:$E$13,_xlfn.AGGREGATE(15,6,(ROW($E$2:$E$13)-ROW($E$2)+1)/(($E$2:$E$13&lt;&gt;"")*((COUNTIF($BE$2:$BE$9,$E$2:$E$13)=0)+($E$2:$E$13='2. Bästa grupptreor'!$B$18))),ROWS($BM$2:BM5))),"")</f>
        <v>DR Kongo</v>
      </c>
      <c r="BN5" t="str">
        <f>IF('2. Bästa grupptreor'!B10="","",INDEX('1. Gruppspel'!$A$4:$A$15,MATCH('2. Bästa grupptreor'!B10,'1. Gruppspel'!$D$4:$D$15,0)))</f>
        <v>A</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Paraguay</v>
      </c>
      <c r="CA5" s="143"/>
    </row>
    <row r="6" spans="1:79" ht="15.75" thickBot="1" x14ac:dyDescent="0.3">
      <c r="A6" t="s">
        <v>32</v>
      </c>
      <c r="E6" s="86" t="str">
        <f>IF('1. Gruppspel'!D8="","",'1. Gruppspel'!D8)</f>
        <v>Ecuador</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Sverige</v>
      </c>
      <c r="BF6" t="str" cm="1">
        <f t="array" ref="BF6">IFERROR(INDEX($E$2:$E$13,_xlfn.AGGREGATE(15,6,(ROW($E$2:$E$13)-ROW($E$2)+1)/(($E$2:$E$13&lt;&gt;"")*((COUNTIF($BE$2:$BE$9,$E$2:$E$13)=0)+($E$2:$E$13='2. Bästa grupptreor'!$B$4))),ROWS($BF$2:BF6))),"")</f>
        <v>Ghana</v>
      </c>
      <c r="BG6" t="str" cm="1">
        <f t="array" ref="BG6">IFERROR(INDEX($E$2:$E$13,_xlfn.AGGREGATE(15,6,(ROW($E$2:$E$13)-ROW($E$2)+1)/(($E$2:$E$13&lt;&gt;"")*((COUNTIF($BE$2:$BE$9,$E$2:$E$13)=0)+($E$2:$E$13='2. Bästa grupptreor'!$B$6))),ROWS($BG$2:BG6))),"")</f>
        <v>Ghana</v>
      </c>
      <c r="BH6" t="str">
        <f>IFERROR(INDEX($E$2:$E$13,_xlfn.AGGREGATE(15,6,(ROW($E$2:$E$13)-ROW($E$2)+1)/(($E$2:$E$13&lt;&gt;"")*((COUNTIF($BE$2:$BE$9,$E$2:$E$13)=0)+($E$2:$E$13='2. Bästa grupptreor'!$B$8))),ROWS($BH$2:BH6))),"")</f>
        <v>Ghana</v>
      </c>
      <c r="BI6" t="str">
        <f>IFERROR(INDEX($E$2:$E$13,_xlfn.AGGREGATE(15,6,(ROW($E$2:$E$13)-ROW($E$2)+1)/(($E$2:$E$13&lt;&gt;"")*((COUNTIF($BE$2:$BE$9,$E$2:$E$13)=0)+($E$2:$E$13='2. Bästa grupptreor'!$B$10))),ROWS($BI$2:BI6))),"")</f>
        <v>Ghana</v>
      </c>
      <c r="BJ6" t="str">
        <f>IFERROR(INDEX($E$2:$E$13,_xlfn.AGGREGATE(15,6,(ROW($E$2:$E$13)-ROW($E$2)+1)/(($E$2:$E$13&lt;&gt;"")*((COUNTIF($BE$2:$BE$9,$E$2:$E$13)=0)+($E$2:$E$13='2. Bästa grupptreor'!$B$12))),ROWS($BJ$2:BJ6))),"")</f>
        <v>Ghana</v>
      </c>
      <c r="BK6" t="str">
        <f>IFERROR(INDEX($E$2:$E$13,_xlfn.AGGREGATE(15,6,(ROW($E$2:$E$13)-ROW($E$2)+1)/(($E$2:$E$13&lt;&gt;"")*((COUNTIF($BE$2:$BE$9,$E$2:$E$13)=0)+($E$2:$E$13='2. Bästa grupptreor'!$B$14))),ROWS($BK$2:BK6))),"")</f>
        <v>Ghana</v>
      </c>
      <c r="BL6" t="str" cm="1">
        <f t="array" ref="BL6">IFERROR(INDEX($E$2:$E$13,_xlfn.AGGREGATE(15,6,(ROW($E$2:$E$13)-ROW($E$2)+1)/(($E$2:$E$13&lt;&gt;"")*((COUNTIF($BE$2:$BE$9,$E$2:$E$13)=0)+($E$2:$E$13='2. Bästa grupptreor'!$B$16))),ROWS($BL$2:BL6))),"")</f>
        <v>Ghana</v>
      </c>
      <c r="BM6" t="str" cm="1">
        <f t="array" ref="BM6">IFERROR(INDEX($E$2:$E$13,_xlfn.AGGREGATE(15,6,(ROW($E$2:$E$13)-ROW($E$2)+1)/(($E$2:$E$13&lt;&gt;"")*((COUNTIF($BE$2:$BE$9,$E$2:$E$13)=0)+($E$2:$E$13='2. Bästa grupptreor'!$B$18))),ROWS($BM$2:BM6))),"")</f>
        <v>Ghana</v>
      </c>
      <c r="BN6" t="str">
        <f>IF('2. Bästa grupptreor'!B12="","",INDEX('1. Gruppspel'!$A$4:$A$15,MATCH('2. Bästa grupptreor'!B12,'1. Gruppspel'!$D$4:$D$15,0)))</f>
        <v>F</v>
      </c>
      <c r="BT6" s="139">
        <v>4</v>
      </c>
      <c r="BU6" s="139" t="str">
        <f>IF('1. Gruppspel'!B7="","",'1. Gruppspel'!B7)</f>
        <v>Turkiet</v>
      </c>
      <c r="BV6" s="139" t="s">
        <v>325</v>
      </c>
      <c r="BX6" s="140" t="s">
        <v>252</v>
      </c>
      <c r="BY6" s="141" t="str">
        <f>IF('1. Gruppspel'!$B$12="","",'1. Gruppspel'!$B$12)</f>
        <v>Frankrike</v>
      </c>
      <c r="BZ6" s="142" t="str">
        <f>IF(_Listor!$BO$2="","",IFERROR(INDEX('1. Gruppspel'!$D$4:$D$15,MATCH(RIGHT(INDEX('Bilaga 3. AnnexC'!$H$2:$H$496,MATCH(_Listor!$BO$2,'Bilaga 3. AnnexC'!$B$2:$B$496,0)),1),'1. Gruppspel'!$A$4:$A$15,0)),""))</f>
        <v>Sverige</v>
      </c>
      <c r="CA6" s="143"/>
    </row>
    <row r="7" spans="1:79" ht="15.75" thickBot="1" x14ac:dyDescent="0.3">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Paraguay</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D</v>
      </c>
      <c r="BT7" s="139">
        <v>5</v>
      </c>
      <c r="BU7" s="139" t="str">
        <f>IF('1. Gruppspel'!B8="","",'1. Gruppspel'!B8)</f>
        <v>Tyskland</v>
      </c>
      <c r="BV7" s="139" t="s">
        <v>326</v>
      </c>
      <c r="BX7" s="140" t="s">
        <v>253</v>
      </c>
      <c r="BY7" s="141" t="str">
        <f>IF('1. Gruppspel'!$B$6="","",'1. Gruppspel'!$B$6)</f>
        <v>Brasilien</v>
      </c>
      <c r="BZ7" s="142" t="str">
        <f>IF('1. Gruppspel'!$C$9="","",'1. Gruppspel'!$C$9)</f>
        <v>Japan</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Bosnien och Hercegovina</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B</v>
      </c>
      <c r="BT8" s="139">
        <v>6</v>
      </c>
      <c r="BU8" s="139" t="str">
        <f>IF('1. Gruppspel'!B9="","",'1. Gruppspel'!B9)</f>
        <v>Nederländerna</v>
      </c>
      <c r="BV8" s="139" t="s">
        <v>327</v>
      </c>
      <c r="BX8" s="140" t="s">
        <v>254</v>
      </c>
      <c r="BY8" s="141" t="str">
        <f>IF('1. Gruppspel'!$C$8="","",'1. Gruppspel'!$C$8)</f>
        <v>Elfenbenskusten</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Algeriet</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J</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Skottland</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Senegal</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Kroatien</v>
      </c>
      <c r="CA11" s="143"/>
    </row>
    <row r="12" spans="1:79" ht="15.75" thickBot="1" x14ac:dyDescent="0.3">
      <c r="A12" t="s">
        <v>50</v>
      </c>
      <c r="E12" s="86" t="str">
        <f>IF('1. Gruppspel'!D14="","",'1. Gruppspel'!D14)</f>
        <v>DR Kongo</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Turkiet</v>
      </c>
      <c r="BZ13" s="144" t="str">
        <f>IF(_Listor!$BO$2="","",IFERROR(INDEX('1. Gruppspel'!$D$4:$D$15,MATCH(RIGHT(INDEX('Bilaga 3. AnnexC'!$E$2:$E$496,MATCH(_Listor!$BO$2,'Bilaga 3. AnnexC'!$B$2:$B$496,0)),1),'1. Gruppspel'!$A$4:$A$15,0)),""))</f>
        <v>Bosnien och Hercegovina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Sydkorea</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Tjeckien</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Kanada</v>
      </c>
      <c r="BV16" s="139" t="s">
        <v>335</v>
      </c>
      <c r="BX16" s="140" t="s">
        <v>262</v>
      </c>
      <c r="BY16" s="141" t="str">
        <f>IF('1. Gruppspel'!$C$7="","",'1. Gruppspel'!$C$7)</f>
        <v>USA</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Algeriet</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USA</v>
      </c>
      <c r="BV18" s="139" t="s">
        <v>337</v>
      </c>
      <c r="BX18" s="140" t="s">
        <v>264</v>
      </c>
      <c r="BY18" s="141" t="str">
        <f>IF('1. Gruppspel'!$B$14="","",'1. Gruppspel'!$B$14)</f>
        <v>Portugal</v>
      </c>
      <c r="BZ18" s="142" t="str">
        <f>IF(_Listor!$BO$2="","",IFERROR(INDEX('1. Gruppspel'!$D$4:$D$15,MATCH(RIGHT(INDEX('Bilaga 3. AnnexC'!$I$2:$I$496,MATCH(_Listor!$BO$2,'Bilaga 3. AnnexC'!$B$2:$B$496,0)),1),'1. Gruppspel'!$A$4:$A$15,0)),""))</f>
        <v>Ecuador</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Elfenbenskusten</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Japan</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217"/>
      <c r="BZ21" s="217"/>
      <c r="CA21" s="217"/>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Kroatien</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B3" sqref="B3:AI3"/>
    </sheetView>
  </sheetViews>
  <sheetFormatPr defaultRowHeight="15" x14ac:dyDescent="0.25"/>
  <cols>
    <col min="1" max="1" width="22" customWidth="1"/>
    <col min="2" max="32" width="15" customWidth="1"/>
    <col min="33" max="33" width="15" style="222" customWidth="1"/>
    <col min="34" max="35" width="15" customWidth="1"/>
  </cols>
  <sheetData>
    <row r="1" spans="1:35" x14ac:dyDescent="0.25">
      <c r="A1" s="220" t="s">
        <v>875</v>
      </c>
      <c r="B1" s="193"/>
      <c r="C1" s="193"/>
      <c r="D1" s="193"/>
      <c r="E1" s="193"/>
      <c r="F1" s="193"/>
      <c r="G1" s="193"/>
      <c r="H1" s="193"/>
      <c r="I1" s="193"/>
      <c r="J1" s="193"/>
      <c r="K1" s="193"/>
      <c r="L1" s="193"/>
      <c r="M1" s="193"/>
      <c r="N1" s="193"/>
      <c r="O1" s="193"/>
      <c r="P1" s="193"/>
      <c r="Q1" s="193"/>
      <c r="R1" s="193"/>
      <c r="S1" s="193"/>
      <c r="T1" s="193"/>
      <c r="U1" s="193"/>
      <c r="V1" s="193"/>
      <c r="W1" s="193"/>
      <c r="X1" s="193"/>
      <c r="Y1" s="193"/>
      <c r="Z1" s="193"/>
      <c r="AA1" s="193"/>
      <c r="AB1" s="193"/>
      <c r="AC1" s="193"/>
      <c r="AD1" s="193"/>
      <c r="AE1" s="193"/>
      <c r="AF1" s="193"/>
      <c r="AG1" s="193"/>
      <c r="AH1" s="193"/>
      <c r="AI1" s="194"/>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Andreas</v>
      </c>
      <c r="B3" s="2" t="str">
        <f>'3. Slutspelsträd'!G9</f>
        <v>Tyskland</v>
      </c>
      <c r="C3" s="2" t="str">
        <f>'3. Slutspelsträd'!G11</f>
        <v>Frankrike</v>
      </c>
      <c r="D3" s="2" t="str">
        <f>'3. Slutspelsträd'!G21</f>
        <v>Tjeckien</v>
      </c>
      <c r="E3" s="2" t="str">
        <f>'3. Slutspelsträd'!G23</f>
        <v>Nederländerna</v>
      </c>
      <c r="F3" s="2" t="str">
        <f>'3. Slutspelsträd'!G35</f>
        <v>Colombia</v>
      </c>
      <c r="G3" s="2" t="str">
        <f>'3. Slutspelsträd'!G37</f>
        <v>Spanien</v>
      </c>
      <c r="H3" s="2" t="str">
        <f>'3. Slutspelsträd'!G47</f>
        <v>Turkiet</v>
      </c>
      <c r="I3" s="2" t="str">
        <f>'3. Slutspelsträd'!G49</f>
        <v>Belgien</v>
      </c>
      <c r="J3" s="2" t="str">
        <f>'3. Slutspelsträd'!AA9</f>
        <v>Brasilien</v>
      </c>
      <c r="K3" s="2" t="str">
        <f>'3. Slutspelsträd'!AA11</f>
        <v>Norge</v>
      </c>
      <c r="L3" s="2" t="str">
        <f>'3. Slutspelsträd'!AA21</f>
        <v>Mexiko</v>
      </c>
      <c r="M3" s="2" t="str">
        <f>'3. Slutspelsträd'!AA23</f>
        <v>England</v>
      </c>
      <c r="N3" s="2" t="str">
        <f>'3. Slutspelsträd'!AA35</f>
        <v>Argentina</v>
      </c>
      <c r="O3" s="2" t="str">
        <f>'3. Slutspelsträd'!AA37</f>
        <v>USA</v>
      </c>
      <c r="P3" s="2" t="str">
        <f>'3. Slutspelsträd'!AA47</f>
        <v>Schweiz</v>
      </c>
      <c r="Q3" s="2" t="str">
        <f>'3. Slutspelsträd'!AA49</f>
        <v>Portugal</v>
      </c>
      <c r="R3" s="2" t="str">
        <f>'3. Slutspelsträd'!J15</f>
        <v>Frankrike</v>
      </c>
      <c r="S3" s="2" t="str">
        <f>'3. Slutspelsträd'!J17</f>
        <v>Nederländerna</v>
      </c>
      <c r="T3" s="2" t="str">
        <f>'3. Slutspelsträd'!J41</f>
        <v>Spanien</v>
      </c>
      <c r="U3" s="2" t="str">
        <f>'3. Slutspelsträd'!J43</f>
        <v>Belgien</v>
      </c>
      <c r="V3" s="2" t="str">
        <f>'3. Slutspelsträd'!X15</f>
        <v>Brasilien</v>
      </c>
      <c r="W3" s="2" t="str">
        <f>'3. Slutspelsträd'!X17</f>
        <v>England</v>
      </c>
      <c r="X3" s="2" t="str">
        <f>'3. Slutspelsträd'!X41</f>
        <v>Argentina</v>
      </c>
      <c r="Y3" s="2" t="str">
        <f>'3. Slutspelsträd'!X43</f>
        <v>Portugal</v>
      </c>
      <c r="Z3" s="2" t="str">
        <f>'3. Slutspelsträd'!M30</f>
        <v>Spanien</v>
      </c>
      <c r="AA3" s="2" t="str">
        <f>'3. Slutspelsträd'!M28</f>
        <v>Frankrike</v>
      </c>
      <c r="AB3" s="2" t="str">
        <f>'3. Slutspelsträd'!U30</f>
        <v>Argentina</v>
      </c>
      <c r="AC3" s="2" t="str">
        <f>'3. Slutspelsträd'!U28</f>
        <v>Brasilien</v>
      </c>
      <c r="AD3" s="2" t="str">
        <f>'3. Slutspelsträd'!P21</f>
        <v>Frankrike</v>
      </c>
      <c r="AE3" s="2" t="str">
        <f>'3. Slutspelsträd'!R21</f>
        <v>Brasilien</v>
      </c>
      <c r="AF3" s="2" t="str">
        <f>'3. Slutspelsträd'!Q19</f>
        <v>Frankrike</v>
      </c>
      <c r="AG3" s="2" t="str">
        <f>'3. Slutspelsträd'!Q39</f>
        <v>Spanien</v>
      </c>
      <c r="AH3" s="2" t="str">
        <f>'4. Skyttekung och utslagsfråga'!C4</f>
        <v>Kylian Mbappë</v>
      </c>
      <c r="AI3" s="2">
        <f>'4. Skyttekung och utslagsfråga'!C6</f>
        <v>287</v>
      </c>
    </row>
    <row r="6" spans="1:35" x14ac:dyDescent="0.25">
      <c r="A6" s="221" t="s">
        <v>909</v>
      </c>
      <c r="B6" s="193"/>
      <c r="C6" s="193"/>
      <c r="D6" s="194"/>
    </row>
    <row r="7" spans="1:35" x14ac:dyDescent="0.25">
      <c r="A7" s="1" t="s">
        <v>15</v>
      </c>
      <c r="B7" s="1" t="s">
        <v>313</v>
      </c>
      <c r="C7" s="1" t="s">
        <v>314</v>
      </c>
      <c r="D7" s="1" t="s">
        <v>315</v>
      </c>
    </row>
    <row r="8" spans="1:35" x14ac:dyDescent="0.25">
      <c r="A8" s="2" t="s">
        <v>21</v>
      </c>
      <c r="B8" s="2" t="str">
        <f>'1. Gruppspel'!B62</f>
        <v>Mexiko</v>
      </c>
      <c r="C8" s="2" t="str">
        <f>'1. Gruppspel'!C62</f>
        <v>Tjeckien</v>
      </c>
      <c r="D8" s="2" t="str">
        <f>'1. Gruppspel'!D62</f>
        <v>Sydkorea</v>
      </c>
    </row>
    <row r="9" spans="1:35" x14ac:dyDescent="0.25">
      <c r="A9" s="2" t="s">
        <v>26</v>
      </c>
      <c r="B9" s="2" t="str">
        <f>'1. Gruppspel'!B63</f>
        <v>Schweiz</v>
      </c>
      <c r="C9" s="2" t="str">
        <f>'1. Gruppspel'!C63</f>
        <v>Kanada</v>
      </c>
      <c r="D9" s="2" t="str">
        <f>'1. Gruppspel'!D63</f>
        <v>Bosnien och Hercegovina</v>
      </c>
    </row>
    <row r="10" spans="1:35" x14ac:dyDescent="0.25">
      <c r="A10" s="2" t="s">
        <v>29</v>
      </c>
      <c r="B10" s="2" t="str">
        <f>'1. Gruppspel'!B64</f>
        <v>Brasilien</v>
      </c>
      <c r="C10" s="2" t="str">
        <f>'1. Gruppspel'!C64</f>
        <v>Marocko</v>
      </c>
      <c r="D10" s="2" t="str">
        <f>'1. Gruppspel'!D64</f>
        <v>Skottland</v>
      </c>
    </row>
    <row r="11" spans="1:35" x14ac:dyDescent="0.25">
      <c r="A11" s="2" t="s">
        <v>31</v>
      </c>
      <c r="B11" s="2" t="str">
        <f>'1. Gruppspel'!B65</f>
        <v>Turkiet</v>
      </c>
      <c r="C11" s="2" t="str">
        <f>'1. Gruppspel'!C65</f>
        <v>USA</v>
      </c>
      <c r="D11" s="2" t="str">
        <f>'1. Gruppspel'!D65</f>
        <v>Paraguay</v>
      </c>
    </row>
    <row r="12" spans="1:35" x14ac:dyDescent="0.25">
      <c r="A12" s="2" t="s">
        <v>34</v>
      </c>
      <c r="B12" s="2" t="str">
        <f>'1. Gruppspel'!B66</f>
        <v>Tyskland</v>
      </c>
      <c r="C12" s="2" t="str">
        <f>'1. Gruppspel'!C66</f>
        <v>Elfenbenskusten</v>
      </c>
      <c r="D12" s="2" t="str">
        <f>'1. Gruppspel'!D66</f>
        <v>Ecuador</v>
      </c>
    </row>
    <row r="13" spans="1:35" x14ac:dyDescent="0.25">
      <c r="A13" s="2" t="s">
        <v>37</v>
      </c>
      <c r="B13" s="2" t="str">
        <f>'1. Gruppspel'!B67</f>
        <v>Nederländerna</v>
      </c>
      <c r="C13" s="2" t="str">
        <f>'1. Gruppspel'!C67</f>
        <v>Japan</v>
      </c>
      <c r="D13" s="2" t="str">
        <f>'1. Gruppspel'!D67</f>
        <v>Sverige</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Portugal</v>
      </c>
      <c r="C18" s="2" t="str">
        <f>'1. Gruppspel'!C72</f>
        <v>Colombia</v>
      </c>
      <c r="D18" s="2" t="str">
        <f>'1. Gruppspel'!D72</f>
        <v>DR Kongo</v>
      </c>
    </row>
    <row r="19" spans="1:4" x14ac:dyDescent="0.25">
      <c r="A19" s="2" t="s">
        <v>55</v>
      </c>
      <c r="B19" s="2" t="str">
        <f>'1. Gruppspel'!B73</f>
        <v>England</v>
      </c>
      <c r="C19" s="2" t="str">
        <f>'1. Gruppspel'!C73</f>
        <v>Kroatien</v>
      </c>
      <c r="D19" s="2" t="str">
        <f>'1. Gruppspel'!D73</f>
        <v>Ghana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2026-06-08T19:09:08Z</dcterms:modified>
</cp:coreProperties>
</file>